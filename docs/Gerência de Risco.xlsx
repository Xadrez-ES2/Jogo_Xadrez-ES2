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cos" sheetId="1" r:id="rId5"/>
  </sheets>
  <definedNames/>
  <calcPr/>
</workbook>
</file>

<file path=xl/sharedStrings.xml><?xml version="1.0" encoding="utf-8"?>
<sst xmlns="http://schemas.openxmlformats.org/spreadsheetml/2006/main" count="60" uniqueCount="50">
  <si>
    <t>Risco</t>
  </si>
  <si>
    <t>Categoria</t>
  </si>
  <si>
    <t>Probabilidade</t>
  </si>
  <si>
    <t>Impacto</t>
  </si>
  <si>
    <t>Exposição</t>
  </si>
  <si>
    <t>Prioridade</t>
  </si>
  <si>
    <t>Contenção</t>
  </si>
  <si>
    <t>Contingência</t>
  </si>
  <si>
    <t>Ritmo de desenvolvimento incompatível com o cronograma</t>
  </si>
  <si>
    <t>Gerência</t>
  </si>
  <si>
    <t>Reuniões semanais de acompanhamento, margem de folga no cronograma</t>
  </si>
  <si>
    <t>Corte de requisitos, horas extras</t>
  </si>
  <si>
    <t>Membro da equipe reduz a produtividade por invalidez</t>
  </si>
  <si>
    <t>Equipe</t>
  </si>
  <si>
    <t>Documentação do código e das decisões de projeto</t>
  </si>
  <si>
    <t>Redistribuir as tarefas, Ter uma margem de folga no cronograma</t>
  </si>
  <si>
    <t>Conflitos de integração</t>
  </si>
  <si>
    <t>Ferramentas</t>
  </si>
  <si>
    <t>Commits devem ser pequenos e branches não podem ficar muitos commits na frente da main</t>
  </si>
  <si>
    <t>Retornar a última versão estável, desabilitar módulos problemáticos</t>
  </si>
  <si>
    <t>Falha na comunicação com o cliente</t>
  </si>
  <si>
    <t>Definir acompanhamento períodico para validar requisitos</t>
  </si>
  <si>
    <t>Documentar suposições tomadas na ausência de resposta</t>
  </si>
  <si>
    <t>Implementação incorreta das regras de xadrez.</t>
  </si>
  <si>
    <t>Implementação</t>
  </si>
  <si>
    <t>Modularização, testes</t>
  </si>
  <si>
    <t>Documentação das regras corretas, validação com o cliente e implementação</t>
  </si>
  <si>
    <t>Mudanças de requisitos</t>
  </si>
  <si>
    <t>Validar e congelar a base de requisitos antes de começar a implementação</t>
  </si>
  <si>
    <t>Realizar avaliações de impacto antes de aceitar mudanças</t>
  </si>
  <si>
    <t>Burndown, horas e Valor Agregado não representarem o trabalho real</t>
  </si>
  <si>
    <t>Registrar horas diariamente, ligar tarefas a responsáveis e usar critérios objetivos para reconhecer EV</t>
  </si>
  <si>
    <t>Reconstruir dados por issues, commits e reuniões, corrigindo e documentando a linha de base</t>
  </si>
  <si>
    <t>Falha na autenticação</t>
  </si>
  <si>
    <t>Testar exaustivamente o fluxo de login/logout antes de integrar com o sistema</t>
  </si>
  <si>
    <t>Tratamento de erro claro e um fallback para não travar o uso do sistema</t>
  </si>
  <si>
    <t>Diferença de versão entre os ambientes de desenvolvimento</t>
  </si>
  <si>
    <t>Definir e congelar as ferramentas no início do projeto, uso de contâiners</t>
  </si>
  <si>
    <t>Migrar para versão definida anteriormente</t>
  </si>
  <si>
    <t>Baixo desempenho do oponente IA</t>
  </si>
  <si>
    <t>Fazer protótipo antecipado do algoritmo e medir desempenho por profundidade</t>
  </si>
  <si>
    <t>Refatoração e documentação do algoritmo de IA</t>
  </si>
  <si>
    <t>Mudança nas ferramentas de desenvolvimento do projeto</t>
  </si>
  <si>
    <t>Refatoração e documentação</t>
  </si>
  <si>
    <t>Dependência excessiva de serviços externos (e. g. Google authentication)</t>
  </si>
  <si>
    <t>Criar fallbacks com serviços internos ou usar diferentes serviçoes externos</t>
  </si>
  <si>
    <t>Implementação própria</t>
  </si>
  <si>
    <t>Perda de dados de partidas e histórico</t>
  </si>
  <si>
    <t>Uso de SGBDs e criação de backups para persistência de dados</t>
  </si>
  <si>
    <t>Recuperação de dados via 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</si>
</sst>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Risc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4" displayName="Riscos" name="Riscos" id="1">
  <tableColumns count="8">
    <tableColumn name="Risco" id="1"/>
    <tableColumn name="Categoria" id="2"/>
    <tableColumn name="Probabilidade" id="3"/>
    <tableColumn name="Impacto" id="4"/>
    <tableColumn name="Exposição" id="5"/>
    <tableColumn name="Prioridade" id="6"/>
    <tableColumn name="Contenção" id="7"/>
    <tableColumn name="Contingência" id="8"/>
  </tableColumns>
  <tableStyleInfo name="Risc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0"/>
    <col customWidth="1" min="2" max="2" width="14.13"/>
    <col customWidth="1" min="3" max="3" width="17.5"/>
    <col customWidth="1" min="4" max="4" width="12.63"/>
    <col customWidth="1" min="5" max="5" width="18.5"/>
    <col customWidth="1" min="6" max="6" width="15.13"/>
    <col customWidth="1" min="7" max="7" width="60.25"/>
    <col customWidth="1" min="8" max="8" width="82.13"/>
    <col customWidth="1" min="9" max="9" width="51.63"/>
    <col customWidth="1" min="10" max="10" width="15.25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5">
        <v>0.8</v>
      </c>
      <c r="D2" s="6">
        <v>0.8</v>
      </c>
      <c r="E2" s="7">
        <f t="shared" ref="E2:E14" si="1">C2*D2</f>
        <v>0.64</v>
      </c>
      <c r="F2" s="8" t="str">
        <f t="shared" ref="F2:F14" si="2">IF(E2="","",IF(E2&lt;=0.08,"Baixa",IF(E2&lt;=0.24,"Média","Alta")))</f>
        <v>Alta</v>
      </c>
      <c r="G2" s="4" t="s">
        <v>10</v>
      </c>
      <c r="H2" s="9" t="s">
        <v>11</v>
      </c>
    </row>
    <row r="3" ht="22.5" customHeight="1">
      <c r="A3" s="10" t="s">
        <v>12</v>
      </c>
      <c r="B3" s="4" t="s">
        <v>13</v>
      </c>
      <c r="C3" s="5">
        <v>0.5</v>
      </c>
      <c r="D3" s="6">
        <v>0.6</v>
      </c>
      <c r="E3" s="7">
        <f t="shared" si="1"/>
        <v>0.3</v>
      </c>
      <c r="F3" s="8" t="str">
        <f t="shared" si="2"/>
        <v>Alta</v>
      </c>
      <c r="G3" s="4" t="s">
        <v>14</v>
      </c>
      <c r="H3" s="4" t="s">
        <v>15</v>
      </c>
    </row>
    <row r="4" ht="22.5" customHeight="1">
      <c r="A4" s="3" t="s">
        <v>16</v>
      </c>
      <c r="B4" s="4" t="s">
        <v>17</v>
      </c>
      <c r="C4" s="5">
        <v>0.6</v>
      </c>
      <c r="D4" s="6">
        <v>0.5</v>
      </c>
      <c r="E4" s="7">
        <f t="shared" si="1"/>
        <v>0.3</v>
      </c>
      <c r="F4" s="8" t="str">
        <f t="shared" si="2"/>
        <v>Alta</v>
      </c>
      <c r="G4" s="4" t="s">
        <v>18</v>
      </c>
      <c r="H4" s="4" t="s">
        <v>19</v>
      </c>
    </row>
    <row r="5" ht="22.5" customHeight="1">
      <c r="A5" s="3" t="s">
        <v>20</v>
      </c>
      <c r="B5" s="4" t="s">
        <v>9</v>
      </c>
      <c r="C5" s="5">
        <v>0.3</v>
      </c>
      <c r="D5" s="6">
        <v>0.7</v>
      </c>
      <c r="E5" s="7">
        <f t="shared" si="1"/>
        <v>0.21</v>
      </c>
      <c r="F5" s="8" t="str">
        <f t="shared" si="2"/>
        <v>Média</v>
      </c>
      <c r="G5" s="4" t="s">
        <v>21</v>
      </c>
      <c r="H5" s="4" t="s">
        <v>22</v>
      </c>
    </row>
    <row r="6" ht="22.5" customHeight="1">
      <c r="A6" s="11" t="s">
        <v>23</v>
      </c>
      <c r="B6" s="4" t="s">
        <v>24</v>
      </c>
      <c r="C6" s="5">
        <v>0.2</v>
      </c>
      <c r="D6" s="6">
        <v>1.0</v>
      </c>
      <c r="E6" s="7">
        <f t="shared" si="1"/>
        <v>0.2</v>
      </c>
      <c r="F6" s="8" t="str">
        <f t="shared" si="2"/>
        <v>Média</v>
      </c>
      <c r="G6" s="4" t="s">
        <v>25</v>
      </c>
      <c r="H6" s="4" t="s">
        <v>26</v>
      </c>
    </row>
    <row r="7" ht="22.5" customHeight="1">
      <c r="A7" s="3" t="s">
        <v>27</v>
      </c>
      <c r="B7" s="4" t="s">
        <v>9</v>
      </c>
      <c r="C7" s="5">
        <v>0.6</v>
      </c>
      <c r="D7" s="6">
        <v>0.3</v>
      </c>
      <c r="E7" s="7">
        <f t="shared" si="1"/>
        <v>0.18</v>
      </c>
      <c r="F7" s="8" t="str">
        <f t="shared" si="2"/>
        <v>Média</v>
      </c>
      <c r="G7" s="4" t="s">
        <v>28</v>
      </c>
      <c r="H7" s="4" t="s">
        <v>29</v>
      </c>
    </row>
    <row r="8" ht="22.5" customHeight="1">
      <c r="A8" s="3" t="s">
        <v>30</v>
      </c>
      <c r="B8" s="4" t="s">
        <v>9</v>
      </c>
      <c r="C8" s="5">
        <v>0.4</v>
      </c>
      <c r="D8" s="6">
        <v>0.4</v>
      </c>
      <c r="E8" s="7">
        <f t="shared" si="1"/>
        <v>0.16</v>
      </c>
      <c r="F8" s="8" t="str">
        <f t="shared" si="2"/>
        <v>Média</v>
      </c>
      <c r="G8" s="4" t="s">
        <v>31</v>
      </c>
      <c r="H8" s="4" t="s">
        <v>32</v>
      </c>
    </row>
    <row r="9" ht="22.5" customHeight="1">
      <c r="A9" s="3" t="s">
        <v>33</v>
      </c>
      <c r="B9" s="4" t="s">
        <v>24</v>
      </c>
      <c r="C9" s="5">
        <v>0.3</v>
      </c>
      <c r="D9" s="6">
        <v>0.5</v>
      </c>
      <c r="E9" s="7">
        <f t="shared" si="1"/>
        <v>0.15</v>
      </c>
      <c r="F9" s="8" t="str">
        <f t="shared" si="2"/>
        <v>Média</v>
      </c>
      <c r="G9" s="4" t="s">
        <v>34</v>
      </c>
      <c r="H9" s="4" t="s">
        <v>35</v>
      </c>
    </row>
    <row r="10" ht="22.5" customHeight="1">
      <c r="A10" s="10" t="s">
        <v>36</v>
      </c>
      <c r="B10" s="4" t="s">
        <v>17</v>
      </c>
      <c r="C10" s="5">
        <v>0.7</v>
      </c>
      <c r="D10" s="6">
        <v>0.2</v>
      </c>
      <c r="E10" s="7">
        <f t="shared" si="1"/>
        <v>0.14</v>
      </c>
      <c r="F10" s="8" t="str">
        <f t="shared" si="2"/>
        <v>Média</v>
      </c>
      <c r="G10" s="4" t="s">
        <v>37</v>
      </c>
      <c r="H10" s="9" t="s">
        <v>38</v>
      </c>
    </row>
    <row r="11" ht="22.5" customHeight="1">
      <c r="A11" s="3" t="s">
        <v>39</v>
      </c>
      <c r="B11" s="4" t="s">
        <v>24</v>
      </c>
      <c r="C11" s="5">
        <v>0.2</v>
      </c>
      <c r="D11" s="6">
        <v>0.6</v>
      </c>
      <c r="E11" s="7">
        <f t="shared" si="1"/>
        <v>0.12</v>
      </c>
      <c r="F11" s="8" t="str">
        <f t="shared" si="2"/>
        <v>Média</v>
      </c>
      <c r="G11" s="4" t="s">
        <v>40</v>
      </c>
      <c r="H11" s="4" t="s">
        <v>41</v>
      </c>
    </row>
    <row r="12" ht="22.5" customHeight="1">
      <c r="A12" s="3" t="s">
        <v>42</v>
      </c>
      <c r="B12" s="4" t="s">
        <v>17</v>
      </c>
      <c r="C12" s="5">
        <v>0.1</v>
      </c>
      <c r="D12" s="6">
        <v>1.0</v>
      </c>
      <c r="E12" s="7">
        <f t="shared" si="1"/>
        <v>0.1</v>
      </c>
      <c r="F12" s="8" t="str">
        <f t="shared" si="2"/>
        <v>Média</v>
      </c>
      <c r="G12" s="4" t="s">
        <v>37</v>
      </c>
      <c r="H12" s="4" t="s">
        <v>43</v>
      </c>
    </row>
    <row r="13" ht="22.5" customHeight="1">
      <c r="A13" s="3" t="s">
        <v>44</v>
      </c>
      <c r="B13" s="4" t="s">
        <v>17</v>
      </c>
      <c r="C13" s="5">
        <v>0.2</v>
      </c>
      <c r="D13" s="6">
        <v>0.3</v>
      </c>
      <c r="E13" s="7">
        <f t="shared" si="1"/>
        <v>0.06</v>
      </c>
      <c r="F13" s="8" t="str">
        <f t="shared" si="2"/>
        <v>Baixa</v>
      </c>
      <c r="G13" s="4" t="s">
        <v>45</v>
      </c>
      <c r="H13" s="4" t="s">
        <v>46</v>
      </c>
    </row>
    <row r="14" ht="22.5" customHeight="1">
      <c r="A14" s="3" t="s">
        <v>47</v>
      </c>
      <c r="B14" s="4" t="s">
        <v>24</v>
      </c>
      <c r="C14" s="5">
        <v>0.2</v>
      </c>
      <c r="D14" s="6">
        <v>0.2</v>
      </c>
      <c r="E14" s="7">
        <f t="shared" si="1"/>
        <v>0.04</v>
      </c>
      <c r="F14" s="8" t="str">
        <f t="shared" si="2"/>
        <v>Baixa</v>
      </c>
      <c r="G14" s="4" t="s">
        <v>48</v>
      </c>
      <c r="H14" s="4" t="s">
        <v>49</v>
      </c>
    </row>
  </sheetData>
  <dataValidations>
    <dataValidation type="list" allowBlank="1" sqref="F2:F14">
      <formula1>"Alta,Média,Baixa"</formula1>
    </dataValidation>
    <dataValidation type="custom" allowBlank="1" showDropDown="1" sqref="C2:E14">
      <formula1>AND(ISNUMBER(C2),(NOT(OR(NOT(ISERROR(DATEVALUE(C2))), AND(ISNUMBER(C2), LEFT(CELL("format", C2))="D")))))</formula1>
    </dataValidation>
    <dataValidation allowBlank="1" showDropDown="1" sqref="A2:A14"/>
  </dataValidations>
  <drawing r:id="rId1"/>
  <tableParts count="1">
    <tablePart r:id="rId3"/>
  </tableParts>
</worksheet>
</file>