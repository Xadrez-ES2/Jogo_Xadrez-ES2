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de Dados" sheetId="1" r:id="rId5"/>
    <sheet state="visible" name="Cálculo dos Valores" sheetId="2" r:id="rId6"/>
    <sheet state="visible" name="Burndown por Iteração" sheetId="3" r:id="rId7"/>
    <sheet state="hidden" name="Burndown" sheetId="4" r:id="rId8"/>
    <sheet state="visible" name="Dados do Burndown"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6">
      <text>
        <t xml:space="preserve">Uma reunião por iteração encerrada; esforço real igual ao planejado por reunião, conforme orientação. As datas de início estão em Dados do Burndown!R2:R17.</t>
      </text>
    </comment>
    <comment authorId="0" ref="I1">
      <text>
        <t xml:space="preserve">Informe a data real de conclusão, com ano. Usada pelos burndowns diários. A tarefa só baixa o esforço quando Concluída (F) estiver marcada. Mantenha a iteração real (G) coerente com a data para os demais relatórios.</t>
      </text>
    </comment>
  </commentList>
</comments>
</file>

<file path=xl/sharedStrings.xml><?xml version="1.0" encoding="utf-8"?>
<sst xmlns="http://schemas.openxmlformats.org/spreadsheetml/2006/main" count="357" uniqueCount="160">
  <si>
    <t>Componente EAP</t>
  </si>
  <si>
    <t>Valor de Esforço Real</t>
  </si>
  <si>
    <t>Valor de Esforço Planejado</t>
  </si>
  <si>
    <t>Custo Real</t>
  </si>
  <si>
    <t>Custo Planejado</t>
  </si>
  <si>
    <t>Concluída</t>
  </si>
  <si>
    <t>Iteração de Conclusão Real</t>
  </si>
  <si>
    <t>Iteração de Conclusão Planejada</t>
  </si>
  <si>
    <t>Data de Conclusão Real</t>
  </si>
  <si>
    <t>1.1.1 Layout da Página Principal</t>
  </si>
  <si>
    <t>1.1.2 Botões com Roteamento</t>
  </si>
  <si>
    <t>1.1.3 Objeto (Peão) 3D</t>
  </si>
  <si>
    <t>1.2.1 Layout da Página da Partida</t>
  </si>
  <si>
    <t>1.2.2.1 Componente do Tabuleiro com Jogadores</t>
  </si>
  <si>
    <t>1.2.2.2 Componentes das Peças</t>
  </si>
  <si>
    <t>1.2.2.3 Componente do Relógio</t>
  </si>
  <si>
    <t>1.2.2.4 Componente do Histórico de Jogadas</t>
  </si>
  <si>
    <t>1.2.2.5 Componente "Pop-Up" de Vitória/Derrota/Empate</t>
  </si>
  <si>
    <t>1.2.3.1 Mecanismo de Pausa</t>
  </si>
  <si>
    <t>1.2.3.2 Mecanismo de Desistência</t>
  </si>
  <si>
    <t>1.3.1 Layout da Página de Opções</t>
  </si>
  <si>
    <t>1.3.2 Componente com Controle de Volume</t>
  </si>
  <si>
    <t>1.3.3 Seletor de Tema</t>
  </si>
  <si>
    <t>1.3.4 Seletor de Oponente (Dificuldade)</t>
  </si>
  <si>
    <t>1.4.1 Layout da Página de Créditos</t>
  </si>
  <si>
    <t>1.4.2 Exibição das Tecnologias/Técnicas do Projeto</t>
  </si>
  <si>
    <t>1.4.3 Exibição da Equipe</t>
  </si>
  <si>
    <t>1.5.1 Layout da Página de Perfil</t>
  </si>
  <si>
    <t>1.5.2 Exibição do Histórico de Partidas</t>
  </si>
  <si>
    <t>1.6.1 Layout da Página de Cadastro</t>
  </si>
  <si>
    <t>1.6.2 Formulário de Cadastro</t>
  </si>
  <si>
    <t>1.6.3 Lógica de Cadastro</t>
  </si>
  <si>
    <t>1.7.1 Layout da Página de Login</t>
  </si>
  <si>
    <t>1.7.2 Formulário de Login</t>
  </si>
  <si>
    <t>1.7.3 Lógica de Login</t>
  </si>
  <si>
    <t>2.1.1.1 Regras do Peão</t>
  </si>
  <si>
    <t>2.1.1.2 Regras da Torre</t>
  </si>
  <si>
    <t>2.1.1.3 Regras do Cavalo</t>
  </si>
  <si>
    <t>2.1.1.4 Regras do Bispo</t>
  </si>
  <si>
    <t>2.1.1.5 Regras do Rei</t>
  </si>
  <si>
    <t>2.1.1.6 Regras da Rainha</t>
  </si>
  <si>
    <t>2.1.2.1 Lógica Roque</t>
  </si>
  <si>
    <t>2.1.2.2 Lógica En Passant</t>
  </si>
  <si>
    <t>2.1.2.3 Lógica Promoção do Peão</t>
  </si>
  <si>
    <t>2.1.3 Captura de peças</t>
  </si>
  <si>
    <t>2.1.4 Cálculo de jogadas permitidas</t>
  </si>
  <si>
    <t>2.2.1 Armazenamento de jogadas</t>
  </si>
  <si>
    <t>2.2.2 Criar tabuleiro e posições das peças</t>
  </si>
  <si>
    <t>2.2.3 Controle do Turno</t>
  </si>
  <si>
    <t>2.2.4 Armazenamento das peças disponíveis</t>
  </si>
  <si>
    <t>2.3.1.1 Afogamento</t>
  </si>
  <si>
    <t>2.3.1.2 Falta de Peças</t>
  </si>
  <si>
    <t>2.3.1.3 50 lances</t>
  </si>
  <si>
    <t>2.3.1.4 Tripla Repetição</t>
  </si>
  <si>
    <t>2.3.2.1 Detectar Xeque e Xeque Mate</t>
  </si>
  <si>
    <t>2.3.2.2 Armazenar Partida em Histórico</t>
  </si>
  <si>
    <t>2.3.3 Bloquear movimentos desistentes</t>
  </si>
  <si>
    <t>2.3.4 Detectar Cravada</t>
  </si>
  <si>
    <t>2.4.1 Testes de Movimento</t>
  </si>
  <si>
    <t>2.4.2 Testes de detecção do estado da partida</t>
  </si>
  <si>
    <t>Iteração</t>
  </si>
  <si>
    <t>PV</t>
  </si>
  <si>
    <t>3.1.1 Função de Avaliação</t>
  </si>
  <si>
    <t>EV</t>
  </si>
  <si>
    <t>AC</t>
  </si>
  <si>
    <t>SPI</t>
  </si>
  <si>
    <t>3.1.2 Busca (Alpha-Beta)</t>
  </si>
  <si>
    <t>CPI</t>
  </si>
  <si>
    <t>SV</t>
  </si>
  <si>
    <t>CV</t>
  </si>
  <si>
    <t>3.1.3 Geração de Jogadas</t>
  </si>
  <si>
    <t>3.2.1 Definição de Parâmetros por nível de dificuldade</t>
  </si>
  <si>
    <t>3.2.2 Profundidade de busca</t>
  </si>
  <si>
    <t>3.2.3 Critérios de Avaliação</t>
  </si>
  <si>
    <t>3.3.1 Testes do MinMax</t>
  </si>
  <si>
    <t>3.3.2 Testes da função de avaliação</t>
  </si>
  <si>
    <t>3.3.3 Testes dos níveis de dificuldade</t>
  </si>
  <si>
    <t>4.1.1 EAP</t>
  </si>
  <si>
    <t>4.1.2.1 Planning Poker</t>
  </si>
  <si>
    <t>4.1.2.2 APF</t>
  </si>
  <si>
    <t>4.1.2.3 COCOMO</t>
  </si>
  <si>
    <t>4.2.1 Reuniões Semanais</t>
  </si>
  <si>
    <t>4.2.2.1 1º Apresentação</t>
  </si>
  <si>
    <t>4.2.2.2 2º Apresentação</t>
  </si>
  <si>
    <t>4.2.2.3 3º Apresentação</t>
  </si>
  <si>
    <t>4.2.3 Arquitetura e Divisão de Tarefas</t>
  </si>
  <si>
    <t>4.2.4 Monitoramento</t>
  </si>
  <si>
    <t>4.3.1 Gerenciamento de Issues</t>
  </si>
  <si>
    <t>4.3.2 Kanban</t>
  </si>
  <si>
    <t>4.3.3 Roadmap (Gantt)</t>
  </si>
  <si>
    <t>4.4 Análise de Risco</t>
  </si>
  <si>
    <t>5.1 Testes de Integração</t>
  </si>
  <si>
    <t>5.2 Testes E2E</t>
  </si>
  <si>
    <t>Data Inicio</t>
  </si>
  <si>
    <t>Ideal Burndown</t>
  </si>
  <si>
    <t>Actual Burndown</t>
  </si>
  <si>
    <t>Tarefas Concluidas</t>
  </si>
  <si>
    <t>Em andamento</t>
  </si>
  <si>
    <t>Futura</t>
  </si>
  <si>
    <t>Tarefa</t>
  </si>
  <si>
    <t>Esforço planejado</t>
  </si>
  <si>
    <t>Data real</t>
  </si>
  <si>
    <t>Iteração planejada — Base H</t>
  </si>
  <si>
    <t>Iteração real sem data</t>
  </si>
  <si>
    <t>Reunião semanal</t>
  </si>
  <si>
    <t>Esforço por reunião</t>
  </si>
  <si>
    <t>Data de conclusão</t>
  </si>
  <si>
    <t>Início</t>
  </si>
  <si>
    <t>Reuniões: 1 por iteração</t>
  </si>
  <si>
    <t>4.2.1.1 Reunião Semanal 1</t>
  </si>
  <si>
    <t>4.2.1.2 Reunião Semanal 2</t>
  </si>
  <si>
    <t>4.2.1.3 Reunião Semanal 3</t>
  </si>
  <si>
    <t>4.2.1.4 Reunião Semanal 4</t>
  </si>
  <si>
    <t>4.2.1.5 Reunião Semanal 5</t>
  </si>
  <si>
    <t>4.2.1.6 Reunião Semanal 6</t>
  </si>
  <si>
    <t>4.2.1.7 Reunião Semanal 7</t>
  </si>
  <si>
    <t>4.2.1.8 Reunião Semanal 8</t>
  </si>
  <si>
    <t>4.2.1.9 Reunião Semanal 9</t>
  </si>
  <si>
    <t/>
  </si>
  <si>
    <t>4.2.1.10 Reunião Semanal 10</t>
  </si>
  <si>
    <t>4.2.1.11 Reunião Semanal 11</t>
  </si>
  <si>
    <t>4.2.1.12 Reunião Semanal 12</t>
  </si>
  <si>
    <t>4.2.1.13 Reunião Semanal 13</t>
  </si>
  <si>
    <t>4.2.1.14 Reunião Semanal 14</t>
  </si>
  <si>
    <t>4.2.1.15 Reunião Semanal 15</t>
  </si>
  <si>
    <t>4.2.1.16 Reunião Semanal 16</t>
  </si>
  <si>
    <t>Burndown por iteração</t>
  </si>
  <si>
    <t>Planejamento: Base de Dados, coluna H. Só tarefas desse escopo baixam o saldo; reuniões incluídas (esforço total ÷ 16).</t>
  </si>
  <si>
    <t>Esforço do escopo</t>
  </si>
  <si>
    <t>Restante no início</t>
  </si>
  <si>
    <t>Restante no fim</t>
  </si>
  <si>
    <t>Situação</t>
  </si>
  <si>
    <t>Datas pendentes</t>
  </si>
  <si>
    <t>Ideal e real partem juntos no dia 0. A linha real desconta apenas tarefas planejadas e concluídas; pendências permanecem no saldo.</t>
  </si>
  <si>
    <t>Iteração 1</t>
  </si>
  <si>
    <t>Escopo planejado</t>
  </si>
  <si>
    <t>Início da iteração</t>
  </si>
  <si>
    <t>Fim da iteração</t>
  </si>
  <si>
    <t>Dia / data</t>
  </si>
  <si>
    <t>Ideal</t>
  </si>
  <si>
    <t>Real</t>
  </si>
  <si>
    <t>Dia da iteração</t>
  </si>
  <si>
    <t>Dia 0</t>
  </si>
  <si>
    <t>Tarefas planejadas - concluídas e não concluídas</t>
  </si>
  <si>
    <t>Tarefas do escopo concluídas até o fim</t>
  </si>
  <si>
    <t>Iteração 2</t>
  </si>
  <si>
    <t>Iteração 3</t>
  </si>
  <si>
    <t>Iteração 4</t>
  </si>
  <si>
    <t>Iteração 5</t>
  </si>
  <si>
    <t>Iteração 6</t>
  </si>
  <si>
    <t>Iteração 7</t>
  </si>
  <si>
    <t>Iteração 8</t>
  </si>
  <si>
    <t>Iteração 9</t>
  </si>
  <si>
    <t>Iteração 10</t>
  </si>
  <si>
    <t>Iteração 11</t>
  </si>
  <si>
    <t>Iteração 12</t>
  </si>
  <si>
    <t>Iteração 13</t>
  </si>
  <si>
    <t>Iteração 14</t>
  </si>
  <si>
    <t>Iteração 15</t>
  </si>
  <si>
    <t>Iteração 16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</si>
</sst>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R$ -416]#,##0.00"/>
    <numFmt numFmtId="165" formatCode="dd/mm/yyyy"/>
    <numFmt numFmtId="166" formatCode="dd/mm"/>
    <numFmt numFmtId="167" formatCode="d/m"/>
  </numFmts>
  <fonts count="10">
    <font>
      <sz val="10.0"/>
      <color rgb="FF000000"/>
      <name val="Arial"/>
      <scheme val="minor"/>
    </font>
    <font>
      <color theme="1"/>
      <name val="Arial"/>
      <scheme val="minor"/>
    </font>
    <font>
      <color theme="1"/>
      <name val="Arial"/>
    </font>
    <font>
      <sz val="11.0"/>
      <color theme="1"/>
      <name val="Arial"/>
    </font>
    <font>
      <b/>
      <color theme="1"/>
      <name val="Arial"/>
      <scheme val="minor"/>
    </font>
    <font>
      <sz val="10.0"/>
      <color theme="1"/>
      <name val="Arial"/>
      <scheme val="minor"/>
    </font>
    <font>
      <b/>
      <sz val="16.0"/>
      <color theme="1"/>
      <name val="Arial"/>
      <scheme val="minor"/>
    </font>
    <font>
      <b/>
      <sz val="12.0"/>
      <color theme="1"/>
      <name val="Arial"/>
      <scheme val="minor"/>
    </font>
    <font>
      <i/>
      <sz val="9.0"/>
      <color rgb="FF666666"/>
      <name val="Arial"/>
      <scheme val="minor"/>
    </font>
    <font>
      <b/>
      <sz val="10.0"/>
      <color theme="1"/>
      <name val="Arial"/>
      <scheme val="minor"/>
    </font>
  </fonts>
  <fills count="10">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B6D7A8"/>
        <bgColor rgb="FFB6D7A8"/>
      </patternFill>
    </fill>
    <fill>
      <patternFill patternType="solid">
        <fgColor rgb="FFCFE2F3"/>
        <bgColor rgb="FFCFE2F3"/>
      </patternFill>
    </fill>
    <fill>
      <patternFill patternType="solid">
        <fgColor rgb="FFFFE599"/>
        <bgColor rgb="FFFFE599"/>
      </patternFill>
    </fill>
    <fill>
      <patternFill patternType="solid">
        <fgColor rgb="FFEA9999"/>
        <bgColor rgb="FFEA9999"/>
      </patternFill>
    </fill>
    <fill>
      <patternFill patternType="solid">
        <fgColor rgb="FFEDEDED"/>
        <bgColor rgb="FFEDEDED"/>
      </patternFill>
    </fill>
    <fill>
      <patternFill patternType="solid">
        <fgColor rgb="FFC9D8F7"/>
        <bgColor rgb="FFC9D8F7"/>
      </patternFill>
    </fill>
  </fills>
  <borders count="6">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readingOrder="0"/>
    </xf>
    <xf borderId="0" fillId="2" fontId="2" numFmtId="164" xfId="0" applyAlignment="1" applyFill="1" applyFont="1" applyNumberFormat="1">
      <alignment readingOrder="0"/>
    </xf>
    <xf borderId="1" fillId="0" fontId="3" numFmtId="0" xfId="0" applyAlignment="1" applyBorder="1" applyFont="1">
      <alignment horizontal="left" readingOrder="0" shrinkToFit="0"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0" fontId="1" numFmtId="165" xfId="0" applyFont="1" applyNumberFormat="1"/>
    <xf borderId="1" fillId="3" fontId="3" numFmtId="0" xfId="0" applyAlignment="1" applyBorder="1" applyFill="1" applyFont="1">
      <alignment horizontal="left" readingOrder="0" shrinkToFit="0" wrapText="0"/>
    </xf>
    <xf borderId="0" fillId="3" fontId="1" numFmtId="0" xfId="0" applyAlignment="1" applyFill="1" applyFont="1">
      <alignment readingOrder="0"/>
    </xf>
    <xf borderId="0" fillId="0" fontId="3" numFmtId="0" xfId="0" applyAlignment="1" applyFont="1">
      <alignment horizontal="left" readingOrder="0" shrinkToFit="0" wrapText="0"/>
    </xf>
    <xf borderId="0" fillId="0" fontId="3" numFmtId="0" xfId="0" applyAlignment="1" applyFont="1">
      <alignment readingOrder="0"/>
    </xf>
    <xf borderId="0" fillId="0" fontId="1" numFmtId="2" xfId="0" applyAlignment="1" applyFont="1" applyNumberFormat="1">
      <alignment readingOrder="0"/>
    </xf>
    <xf borderId="0" fillId="4" fontId="1" numFmtId="0" xfId="0" applyAlignment="1" applyFill="1" applyFont="1">
      <alignment readingOrder="0"/>
    </xf>
    <xf borderId="0" fillId="4" fontId="1" numFmtId="164" xfId="0" applyFill="1" applyFont="1" applyNumberFormat="1"/>
    <xf borderId="0" fillId="4" fontId="1" numFmtId="2" xfId="0" applyFill="1" applyFont="1" applyNumberFormat="1"/>
    <xf borderId="0" fillId="0" fontId="1" numFmtId="164" xfId="0" applyFont="1" applyNumberFormat="1"/>
    <xf borderId="2" fillId="5" fontId="2" numFmtId="0" xfId="0" applyAlignment="1" applyBorder="1" applyFill="1" applyFont="1">
      <alignment vertical="bottom"/>
    </xf>
    <xf borderId="3" fillId="5" fontId="2" numFmtId="0" xfId="0" applyAlignment="1" applyBorder="1" applyFill="1" applyFont="1">
      <alignment vertical="bottom"/>
    </xf>
    <xf borderId="2" fillId="5" fontId="2" numFmtId="2" xfId="0" applyAlignment="1" applyBorder="1" applyFill="1" applyFont="1" applyNumberFormat="1">
      <alignment readingOrder="0" vertical="bottom"/>
    </xf>
    <xf borderId="2" fillId="4" fontId="2" numFmtId="166" xfId="0" applyAlignment="1" applyBorder="1" applyFill="1" applyFont="1" applyNumberFormat="1">
      <alignment horizontal="right" readingOrder="0" vertical="bottom"/>
    </xf>
    <xf borderId="2" fillId="4" fontId="1" numFmtId="0" xfId="0" applyAlignment="1" applyBorder="1" applyFill="1" applyFont="1">
      <alignment readingOrder="0"/>
    </xf>
    <xf borderId="4" fillId="4" fontId="2" numFmtId="2" xfId="0" applyAlignment="1" applyBorder="1" applyFill="1" applyFont="1" applyNumberFormat="1">
      <alignment horizontal="right" vertical="bottom"/>
    </xf>
    <xf borderId="2" fillId="4" fontId="2" numFmtId="2" xfId="0" applyAlignment="1" applyBorder="1" applyFill="1" applyFont="1" applyNumberFormat="1">
      <alignment horizontal="right" vertical="bottom"/>
    </xf>
    <xf borderId="0" fillId="4" fontId="1" numFmtId="0" xfId="0" applyFill="1" applyFont="1"/>
    <xf borderId="2" fillId="4" fontId="2" numFmtId="166" xfId="0" applyAlignment="1" applyBorder="1" applyFill="1" applyFont="1" applyNumberFormat="1">
      <alignment horizontal="right" vertical="bottom"/>
    </xf>
    <xf borderId="5" fillId="4" fontId="2" numFmtId="0" xfId="0" applyAlignment="1" applyBorder="1" applyFill="1" applyFont="1">
      <alignment horizontal="right" readingOrder="0" vertical="bottom"/>
    </xf>
    <xf borderId="2" fillId="4" fontId="2" numFmtId="0" xfId="0" applyAlignment="1" applyBorder="1" applyFill="1" applyFont="1">
      <alignment vertical="bottom"/>
    </xf>
    <xf borderId="0" fillId="0" fontId="1" numFmtId="166" xfId="0" applyAlignment="1" applyFont="1" applyNumberFormat="1">
      <alignment readingOrder="0"/>
    </xf>
    <xf borderId="2" fillId="4" fontId="2" numFmtId="0" xfId="0" applyAlignment="1" applyBorder="1" applyFill="1" applyFont="1">
      <alignment horizontal="right" vertical="bottom"/>
    </xf>
    <xf borderId="2" fillId="6" fontId="2" numFmtId="166" xfId="0" applyAlignment="1" applyBorder="1" applyFill="1" applyFont="1" applyNumberFormat="1">
      <alignment horizontal="right" vertical="bottom"/>
    </xf>
    <xf borderId="2" fillId="6" fontId="2" numFmtId="0" xfId="0" applyAlignment="1" applyBorder="1" applyFill="1" applyFont="1">
      <alignment horizontal="right" vertical="bottom"/>
    </xf>
    <xf borderId="2" fillId="6" fontId="2" numFmtId="2" xfId="0" applyAlignment="1" applyBorder="1" applyFill="1" applyFont="1" applyNumberFormat="1">
      <alignment horizontal="right" vertical="bottom"/>
    </xf>
    <xf borderId="2" fillId="6" fontId="2" numFmtId="0" xfId="0" applyAlignment="1" applyBorder="1" applyFill="1" applyFont="1">
      <alignment vertical="bottom"/>
    </xf>
    <xf borderId="2" fillId="7" fontId="2" numFmtId="166" xfId="0" applyAlignment="1" applyBorder="1" applyFill="1" applyFont="1" applyNumberFormat="1">
      <alignment horizontal="right" vertical="bottom"/>
    </xf>
    <xf borderId="2" fillId="7" fontId="2" numFmtId="0" xfId="0" applyAlignment="1" applyBorder="1" applyFill="1" applyFont="1">
      <alignment horizontal="right" vertical="bottom"/>
    </xf>
    <xf borderId="2" fillId="7" fontId="2" numFmtId="2" xfId="0" applyAlignment="1" applyBorder="1" applyFill="1" applyFont="1" applyNumberFormat="1">
      <alignment horizontal="right" vertical="bottom"/>
    </xf>
    <xf borderId="2" fillId="7" fontId="2" numFmtId="0" xfId="0" applyAlignment="1" applyBorder="1" applyFill="1" applyFont="1">
      <alignment vertical="bottom"/>
    </xf>
    <xf borderId="0" fillId="6" fontId="1" numFmtId="0" xfId="0" applyAlignment="1" applyFill="1" applyFont="1">
      <alignment readingOrder="0"/>
    </xf>
    <xf borderId="0" fillId="6" fontId="1" numFmtId="164" xfId="0" applyFill="1" applyFont="1" applyNumberFormat="1"/>
    <xf borderId="0" fillId="0" fontId="1" numFmtId="2" xfId="0" applyFont="1" applyNumberFormat="1"/>
    <xf borderId="0" fillId="6" fontId="1" numFmtId="2" xfId="0" applyFill="1" applyFont="1" applyNumberFormat="1"/>
    <xf borderId="0" fillId="7" fontId="1" numFmtId="0" xfId="0" applyAlignment="1" applyFill="1" applyFont="1">
      <alignment readingOrder="0"/>
    </xf>
    <xf borderId="0" fillId="0" fontId="1" numFmtId="167" xfId="0" applyAlignment="1" applyFont="1" applyNumberFormat="1">
      <alignment readingOrder="0"/>
    </xf>
    <xf borderId="0" fillId="7" fontId="1" numFmtId="164" xfId="0" applyFill="1" applyFont="1" applyNumberFormat="1"/>
    <xf borderId="0" fillId="7" fontId="1" numFmtId="2" xfId="0" applyFill="1" applyFont="1" applyNumberFormat="1"/>
    <xf borderId="0" fillId="8" fontId="4" numFmtId="0" xfId="0" applyAlignment="1" applyFill="1" applyFont="1">
      <alignment shrinkToFit="0" wrapText="1"/>
    </xf>
    <xf borderId="0" fillId="8" fontId="4" numFmtId="0" xfId="0" applyAlignment="1" applyFill="1" applyFont="1">
      <alignment readingOrder="0" shrinkToFit="0" wrapText="1"/>
    </xf>
    <xf borderId="0" fillId="0" fontId="5" numFmtId="0" xfId="0" applyAlignment="1" applyFont="1">
      <alignment readingOrder="0" shrinkToFit="0" vertical="top" wrapText="1"/>
    </xf>
    <xf borderId="0" fillId="0" fontId="1" numFmtId="0" xfId="0" applyAlignment="1" applyFont="1">
      <alignment readingOrder="0"/>
    </xf>
    <xf borderId="0" fillId="0" fontId="6" numFmtId="0" xfId="0" applyAlignment="1" applyFont="1">
      <alignment readingOrder="0" shrinkToFit="0" vertical="center" wrapText="1"/>
    </xf>
    <xf borderId="0" fillId="0" fontId="5" numFmtId="0" xfId="0" applyAlignment="1" applyFont="1">
      <alignment readingOrder="0" shrinkToFit="0" vertical="center" wrapText="1"/>
    </xf>
    <xf borderId="0" fillId="9" fontId="4" numFmtId="0" xfId="0" applyAlignment="1" applyFill="1" applyFont="1">
      <alignment shrinkToFit="0" wrapText="1"/>
    </xf>
    <xf borderId="0" fillId="0" fontId="1" numFmtId="2" xfId="0" applyFont="1" applyNumberFormat="1"/>
    <xf borderId="0" fillId="0" fontId="5" numFmtId="0" xfId="0" applyAlignment="1" applyFont="1">
      <alignment readingOrder="0" shrinkToFit="0" wrapText="1"/>
    </xf>
    <xf borderId="0" fillId="9" fontId="7" numFmtId="0" xfId="0" applyFill="1" applyFont="1"/>
    <xf borderId="0" fillId="8" fontId="4" numFmtId="0" xfId="0" applyAlignment="1" applyFill="1" applyFont="1">
      <alignment readingOrder="0" shrinkToFit="0" wrapText="1"/>
    </xf>
    <xf borderId="0" fillId="0" fontId="1" numFmtId="166" xfId="0" applyAlignment="1" applyFont="1" applyNumberFormat="1">
      <alignment readingOrder="0"/>
    </xf>
    <xf borderId="0" fillId="0" fontId="1" numFmtId="166" xfId="0" applyFont="1" applyNumberFormat="1"/>
    <xf borderId="0" fillId="0" fontId="8" numFmtId="0" xfId="0" applyAlignment="1" applyFont="1">
      <alignment readingOrder="0" shrinkToFit="0" wrapText="1"/>
    </xf>
    <xf borderId="0" fillId="9" fontId="9" numFmtId="0" xfId="0" applyAlignment="1" applyFill="1" applyFont="1">
      <alignment readingOrder="0" shrinkToFit="0" vertical="center" wrapText="1"/>
    </xf>
    <xf borderId="0" fillId="9" fontId="9" numFmtId="0" xfId="0" applyAlignment="1" applyFill="1" applyFont="1">
      <alignment readingOrder="0" shrinkToFit="0" vertical="center"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Gráfico de Valor Agregado</a:t>
            </a:r>
          </a:p>
        </c:rich>
      </c:tx>
      <c:overlay val="0"/>
    </c:title>
    <c:plotArea>
      <c:layout/>
      <c:lineChart>
        <c:ser>
          <c:idx val="0"/>
          <c:order val="0"/>
          <c:tx>
            <c:strRef>
              <c:f>'Cálculo dos Valores'!$B$1</c:f>
            </c:strRef>
          </c:tx>
          <c:spPr>
            <a:ln cmpd="sng">
              <a:solidFill>
                <a:srgbClr val="4285F4"/>
              </a:solidFill>
            </a:ln>
          </c:spPr>
          <c:marker>
            <c:symbol val="circle"/>
            <c:size val="5"/>
            <c:spPr>
              <a:solidFill>
                <a:srgbClr val="4285F4"/>
              </a:solidFill>
              <a:ln cmpd="sng">
                <a:solidFill>
                  <a:srgbClr val="4285F4"/>
                </a:solidFill>
              </a:ln>
            </c:spPr>
          </c:marker>
          <c:cat>
            <c:strRef>
              <c:f>'Cálculo dos Valores'!$A$2:$A$17</c:f>
            </c:strRef>
          </c:cat>
          <c:val>
            <c:numRef>
              <c:f>'Cálculo dos Valores'!$B$2:$B$17</c:f>
              <c:numCache/>
            </c:numRef>
          </c:val>
          <c:smooth val="0"/>
        </c:ser>
        <c:ser>
          <c:idx val="1"/>
          <c:order val="1"/>
          <c:tx>
            <c:strRef>
              <c:f>'Cálculo dos Valores'!$C$1</c:f>
            </c:strRef>
          </c:tx>
          <c:spPr>
            <a:ln cmpd="sng">
              <a:solidFill>
                <a:srgbClr val="00FF00">
                  <a:alpha val="100000"/>
                </a:srgbClr>
              </a:solidFill>
            </a:ln>
          </c:spPr>
          <c:marker>
            <c:symbol val="circle"/>
            <c:size val="5"/>
            <c:spPr>
              <a:solidFill>
                <a:srgbClr val="00FF00">
                  <a:alpha val="100000"/>
                </a:srgbClr>
              </a:solidFill>
              <a:ln cmpd="sng">
                <a:solidFill>
                  <a:srgbClr val="00FF00">
                    <a:alpha val="100000"/>
                  </a:srgbClr>
                </a:solidFill>
              </a:ln>
            </c:spPr>
          </c:marker>
          <c:cat>
            <c:strRef>
              <c:f>'Cálculo dos Valores'!$A$2:$A$17</c:f>
            </c:strRef>
          </c:cat>
          <c:val>
            <c:numRef>
              <c:f>'Cálculo dos Valores'!$C$2:$C$17</c:f>
              <c:numCache/>
            </c:numRef>
          </c:val>
          <c:smooth val="0"/>
        </c:ser>
        <c:ser>
          <c:idx val="2"/>
          <c:order val="2"/>
          <c:tx>
            <c:strRef>
              <c:f>'Cálculo dos Valores'!$D$1</c:f>
            </c:strRef>
          </c:tx>
          <c:spPr>
            <a:ln cmpd="sng">
              <a:solidFill>
                <a:srgbClr val="FF0000">
                  <a:alpha val="100000"/>
                </a:srgbClr>
              </a:solidFill>
            </a:ln>
          </c:spPr>
          <c:marker>
            <c:symbol val="circle"/>
            <c:size val="5"/>
            <c:spPr>
              <a:solidFill>
                <a:srgbClr val="FF0000">
                  <a:alpha val="100000"/>
                </a:srgbClr>
              </a:solidFill>
              <a:ln cmpd="sng">
                <a:solidFill>
                  <a:srgbClr val="FF0000">
                    <a:alpha val="100000"/>
                  </a:srgbClr>
                </a:solidFill>
              </a:ln>
            </c:spPr>
          </c:marker>
          <c:cat>
            <c:strRef>
              <c:f>'Cálculo dos Valores'!$A$2:$A$17</c:f>
            </c:strRef>
          </c:cat>
          <c:val>
            <c:numRef>
              <c:f>'Cálculo dos Valores'!$D$2:$D$17</c:f>
              <c:numCache/>
            </c:numRef>
          </c:val>
          <c:smooth val="0"/>
        </c:ser>
        <c:axId val="1460008076"/>
        <c:axId val="1044185431"/>
      </c:lineChart>
      <c:catAx>
        <c:axId val="14600080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44185431"/>
      </c:catAx>
      <c:valAx>
        <c:axId val="10441854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46000807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1</a:t>
            </a:r>
          </a:p>
        </c:rich>
      </c:tx>
      <c:overlay val="0"/>
    </c:title>
    <c:plotArea>
      <c:layout/>
      <c:lineChart>
        <c:ser>
          <c:idx val="0"/>
          <c:order val="0"/>
          <c:tx>
            <c:strRef>
              <c:f>'Burndown por Iteração'!$B$30</c:f>
            </c:strRef>
          </c:tx>
          <c:spPr>
            <a:ln cmpd="sng">
              <a:solidFill>
                <a:srgbClr val="999999"/>
              </a:solidFill>
            </a:ln>
          </c:spPr>
          <c:marker>
            <c:symbol val="circle"/>
            <c:size val="4"/>
            <c:spPr>
              <a:solidFill>
                <a:srgbClr val="999999"/>
              </a:solidFill>
              <a:ln cmpd="sng">
                <a:solidFill>
                  <a:srgbClr val="999999"/>
                </a:solidFill>
              </a:ln>
            </c:spPr>
          </c:marker>
          <c:cat>
            <c:strRef>
              <c:f>'Burndown por Iteração'!$D$31:$D$38</c:f>
            </c:strRef>
          </c:cat>
          <c:val>
            <c:numRef>
              <c:f>'Burndown por Iteração'!$B$31:$B$38</c:f>
              <c:numCache/>
            </c:numRef>
          </c:val>
          <c:smooth val="0"/>
        </c:ser>
        <c:ser>
          <c:idx val="1"/>
          <c:order val="1"/>
          <c:tx>
            <c:strRef>
              <c:f>'Burndown por Iteração'!$C$30</c:f>
            </c:strRef>
          </c:tx>
          <c:spPr>
            <a:ln cmpd="sng">
              <a:solidFill>
                <a:srgbClr val="286DCC"/>
              </a:solidFill>
            </a:ln>
          </c:spPr>
          <c:marker>
            <c:symbol val="circle"/>
            <c:size val="5"/>
            <c:spPr>
              <a:solidFill>
                <a:srgbClr val="286DCC"/>
              </a:solidFill>
              <a:ln cmpd="sng">
                <a:solidFill>
                  <a:srgbClr val="286DCC"/>
                </a:solidFill>
              </a:ln>
            </c:spPr>
          </c:marker>
          <c:cat>
            <c:strRef>
              <c:f>'Burndown por Iteração'!$D$31:$D$38</c:f>
            </c:strRef>
          </c:cat>
          <c:val>
            <c:numRef>
              <c:f>'Burndown por Iteração'!$C$31:$C$38</c:f>
              <c:numCache/>
            </c:numRef>
          </c:val>
          <c:smooth val="0"/>
        </c:ser>
        <c:axId val="1328529306"/>
        <c:axId val="774431279"/>
      </c:lineChart>
      <c:catAx>
        <c:axId val="1328529306"/>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774431279"/>
      </c:catAx>
      <c:valAx>
        <c:axId val="774431279"/>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328529306"/>
      </c:valAx>
    </c:plotArea>
    <c:legend>
      <c:legendPos val="b"/>
      <c:overlay val="0"/>
      <c:txPr>
        <a:bodyPr/>
        <a:lstStyle/>
        <a:p>
          <a:pPr lvl="0">
            <a:defRPr b="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2</a:t>
            </a:r>
          </a:p>
        </c:rich>
      </c:tx>
      <c:overlay val="0"/>
    </c:title>
    <c:plotArea>
      <c:layout/>
      <c:lineChart>
        <c:ser>
          <c:idx val="0"/>
          <c:order val="0"/>
          <c:tx>
            <c:strRef>
              <c:f>'Burndown por Iteração'!$B$77</c:f>
            </c:strRef>
          </c:tx>
          <c:spPr>
            <a:ln cmpd="sng">
              <a:solidFill>
                <a:srgbClr val="999999"/>
              </a:solidFill>
            </a:ln>
          </c:spPr>
          <c:marker>
            <c:symbol val="circle"/>
            <c:size val="4"/>
            <c:spPr>
              <a:solidFill>
                <a:srgbClr val="999999"/>
              </a:solidFill>
              <a:ln cmpd="sng">
                <a:solidFill>
                  <a:srgbClr val="999999"/>
                </a:solidFill>
              </a:ln>
            </c:spPr>
          </c:marker>
          <c:cat>
            <c:strRef>
              <c:f>'Burndown por Iteração'!$D$78:$D$85</c:f>
            </c:strRef>
          </c:cat>
          <c:val>
            <c:numRef>
              <c:f>'Burndown por Iteração'!$B$78:$B$85</c:f>
              <c:numCache/>
            </c:numRef>
          </c:val>
          <c:smooth val="0"/>
        </c:ser>
        <c:ser>
          <c:idx val="1"/>
          <c:order val="1"/>
          <c:tx>
            <c:strRef>
              <c:f>'Burndown por Iteração'!$C$77</c:f>
            </c:strRef>
          </c:tx>
          <c:spPr>
            <a:ln cmpd="sng">
              <a:solidFill>
                <a:srgbClr val="286DCC"/>
              </a:solidFill>
            </a:ln>
          </c:spPr>
          <c:marker>
            <c:symbol val="circle"/>
            <c:size val="5"/>
            <c:spPr>
              <a:solidFill>
                <a:srgbClr val="286DCC"/>
              </a:solidFill>
              <a:ln cmpd="sng">
                <a:solidFill>
                  <a:srgbClr val="286DCC"/>
                </a:solidFill>
              </a:ln>
            </c:spPr>
          </c:marker>
          <c:cat>
            <c:strRef>
              <c:f>'Burndown por Iteração'!$D$78:$D$85</c:f>
            </c:strRef>
          </c:cat>
          <c:val>
            <c:numRef>
              <c:f>'Burndown por Iteração'!$C$78:$C$85</c:f>
              <c:numCache/>
            </c:numRef>
          </c:val>
          <c:smooth val="0"/>
        </c:ser>
        <c:axId val="1855804639"/>
        <c:axId val="30428497"/>
      </c:lineChart>
      <c:catAx>
        <c:axId val="1855804639"/>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30428497"/>
      </c:catAx>
      <c:valAx>
        <c:axId val="30428497"/>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855804639"/>
      </c:valAx>
    </c:plotArea>
    <c:legend>
      <c:legendPos val="b"/>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3</a:t>
            </a:r>
          </a:p>
        </c:rich>
      </c:tx>
      <c:overlay val="0"/>
    </c:title>
    <c:plotArea>
      <c:layout/>
      <c:lineChart>
        <c:ser>
          <c:idx val="0"/>
          <c:order val="0"/>
          <c:tx>
            <c:strRef>
              <c:f>'Burndown por Iteração'!$B$124</c:f>
            </c:strRef>
          </c:tx>
          <c:spPr>
            <a:ln cmpd="sng">
              <a:solidFill>
                <a:srgbClr val="999999"/>
              </a:solidFill>
            </a:ln>
          </c:spPr>
          <c:marker>
            <c:symbol val="circle"/>
            <c:size val="4"/>
            <c:spPr>
              <a:solidFill>
                <a:srgbClr val="999999"/>
              </a:solidFill>
              <a:ln cmpd="sng">
                <a:solidFill>
                  <a:srgbClr val="999999"/>
                </a:solidFill>
              </a:ln>
            </c:spPr>
          </c:marker>
          <c:cat>
            <c:strRef>
              <c:f>'Burndown por Iteração'!$D$125:$D$132</c:f>
            </c:strRef>
          </c:cat>
          <c:val>
            <c:numRef>
              <c:f>'Burndown por Iteração'!$B$125:$B$132</c:f>
              <c:numCache/>
            </c:numRef>
          </c:val>
          <c:smooth val="0"/>
        </c:ser>
        <c:ser>
          <c:idx val="1"/>
          <c:order val="1"/>
          <c:tx>
            <c:strRef>
              <c:f>'Burndown por Iteração'!$C$124</c:f>
            </c:strRef>
          </c:tx>
          <c:spPr>
            <a:ln cmpd="sng">
              <a:solidFill>
                <a:srgbClr val="286DCC"/>
              </a:solidFill>
            </a:ln>
          </c:spPr>
          <c:marker>
            <c:symbol val="circle"/>
            <c:size val="5"/>
            <c:spPr>
              <a:solidFill>
                <a:srgbClr val="286DCC"/>
              </a:solidFill>
              <a:ln cmpd="sng">
                <a:solidFill>
                  <a:srgbClr val="286DCC"/>
                </a:solidFill>
              </a:ln>
            </c:spPr>
          </c:marker>
          <c:cat>
            <c:strRef>
              <c:f>'Burndown por Iteração'!$D$125:$D$132</c:f>
            </c:strRef>
          </c:cat>
          <c:val>
            <c:numRef>
              <c:f>'Burndown por Iteração'!$C$125:$C$132</c:f>
              <c:numCache/>
            </c:numRef>
          </c:val>
          <c:smooth val="0"/>
        </c:ser>
        <c:axId val="1883113492"/>
        <c:axId val="1105957563"/>
      </c:lineChart>
      <c:catAx>
        <c:axId val="1883113492"/>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105957563"/>
      </c:catAx>
      <c:valAx>
        <c:axId val="1105957563"/>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883113492"/>
      </c:valAx>
    </c:plotArea>
    <c:legend>
      <c:legendPos val="b"/>
      <c:overlay val="0"/>
      <c:txPr>
        <a:bodyPr/>
        <a:lstStyle/>
        <a:p>
          <a:pPr lvl="0">
            <a:defRPr b="0">
              <a:solidFill>
                <a:srgbClr val="1A1A1A"/>
              </a:solidFill>
              <a:latin typeface="Arial"/>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4</a:t>
            </a:r>
          </a:p>
        </c:rich>
      </c:tx>
      <c:overlay val="0"/>
    </c:title>
    <c:plotArea>
      <c:layout/>
      <c:lineChart>
        <c:ser>
          <c:idx val="0"/>
          <c:order val="0"/>
          <c:tx>
            <c:strRef>
              <c:f>'Burndown por Iteração'!$B$171</c:f>
            </c:strRef>
          </c:tx>
          <c:spPr>
            <a:ln cmpd="sng">
              <a:solidFill>
                <a:srgbClr val="999999"/>
              </a:solidFill>
            </a:ln>
          </c:spPr>
          <c:marker>
            <c:symbol val="circle"/>
            <c:size val="4"/>
            <c:spPr>
              <a:solidFill>
                <a:srgbClr val="999999"/>
              </a:solidFill>
              <a:ln cmpd="sng">
                <a:solidFill>
                  <a:srgbClr val="999999"/>
                </a:solidFill>
              </a:ln>
            </c:spPr>
          </c:marker>
          <c:cat>
            <c:strRef>
              <c:f>'Burndown por Iteração'!$D$172:$D$179</c:f>
            </c:strRef>
          </c:cat>
          <c:val>
            <c:numRef>
              <c:f>'Burndown por Iteração'!$B$172:$B$179</c:f>
              <c:numCache/>
            </c:numRef>
          </c:val>
          <c:smooth val="0"/>
        </c:ser>
        <c:ser>
          <c:idx val="1"/>
          <c:order val="1"/>
          <c:tx>
            <c:strRef>
              <c:f>'Burndown por Iteração'!$C$171</c:f>
            </c:strRef>
          </c:tx>
          <c:spPr>
            <a:ln cmpd="sng">
              <a:solidFill>
                <a:srgbClr val="286DCC"/>
              </a:solidFill>
            </a:ln>
          </c:spPr>
          <c:marker>
            <c:symbol val="circle"/>
            <c:size val="5"/>
            <c:spPr>
              <a:solidFill>
                <a:srgbClr val="286DCC"/>
              </a:solidFill>
              <a:ln cmpd="sng">
                <a:solidFill>
                  <a:srgbClr val="286DCC"/>
                </a:solidFill>
              </a:ln>
            </c:spPr>
          </c:marker>
          <c:cat>
            <c:strRef>
              <c:f>'Burndown por Iteração'!$D$172:$D$179</c:f>
            </c:strRef>
          </c:cat>
          <c:val>
            <c:numRef>
              <c:f>'Burndown por Iteração'!$C$172:$C$179</c:f>
              <c:numCache/>
            </c:numRef>
          </c:val>
          <c:smooth val="0"/>
        </c:ser>
        <c:axId val="1068973050"/>
        <c:axId val="232203864"/>
      </c:lineChart>
      <c:catAx>
        <c:axId val="1068973050"/>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232203864"/>
      </c:catAx>
      <c:valAx>
        <c:axId val="232203864"/>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068973050"/>
      </c:valAx>
    </c:plotArea>
    <c:legend>
      <c:legendPos val="b"/>
      <c:overlay val="0"/>
      <c:txPr>
        <a:bodyPr/>
        <a:lstStyle/>
        <a:p>
          <a:pPr lvl="0">
            <a:defRPr b="0">
              <a:solidFill>
                <a:srgbClr val="1A1A1A"/>
              </a:solidFill>
              <a:latin typeface="Arial"/>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5</a:t>
            </a:r>
          </a:p>
        </c:rich>
      </c:tx>
      <c:overlay val="0"/>
    </c:title>
    <c:plotArea>
      <c:layout/>
      <c:lineChart>
        <c:ser>
          <c:idx val="0"/>
          <c:order val="0"/>
          <c:tx>
            <c:strRef>
              <c:f>'Burndown por Iteração'!$B$218</c:f>
            </c:strRef>
          </c:tx>
          <c:spPr>
            <a:ln cmpd="sng">
              <a:solidFill>
                <a:srgbClr val="999999"/>
              </a:solidFill>
            </a:ln>
          </c:spPr>
          <c:marker>
            <c:symbol val="circle"/>
            <c:size val="4"/>
            <c:spPr>
              <a:solidFill>
                <a:srgbClr val="999999"/>
              </a:solidFill>
              <a:ln cmpd="sng">
                <a:solidFill>
                  <a:srgbClr val="999999"/>
                </a:solidFill>
              </a:ln>
            </c:spPr>
          </c:marker>
          <c:cat>
            <c:strRef>
              <c:f>'Burndown por Iteração'!$D$219:$D$226</c:f>
            </c:strRef>
          </c:cat>
          <c:val>
            <c:numRef>
              <c:f>'Burndown por Iteração'!$B$219:$B$226</c:f>
              <c:numCache/>
            </c:numRef>
          </c:val>
          <c:smooth val="0"/>
        </c:ser>
        <c:ser>
          <c:idx val="1"/>
          <c:order val="1"/>
          <c:tx>
            <c:strRef>
              <c:f>'Burndown por Iteração'!$C$218</c:f>
            </c:strRef>
          </c:tx>
          <c:spPr>
            <a:ln cmpd="sng">
              <a:solidFill>
                <a:srgbClr val="286DCC"/>
              </a:solidFill>
            </a:ln>
          </c:spPr>
          <c:marker>
            <c:symbol val="circle"/>
            <c:size val="5"/>
            <c:spPr>
              <a:solidFill>
                <a:srgbClr val="286DCC"/>
              </a:solidFill>
              <a:ln cmpd="sng">
                <a:solidFill>
                  <a:srgbClr val="286DCC"/>
                </a:solidFill>
              </a:ln>
            </c:spPr>
          </c:marker>
          <c:cat>
            <c:strRef>
              <c:f>'Burndown por Iteração'!$D$219:$D$226</c:f>
            </c:strRef>
          </c:cat>
          <c:val>
            <c:numRef>
              <c:f>'Burndown por Iteração'!$C$219:$C$226</c:f>
              <c:numCache/>
            </c:numRef>
          </c:val>
          <c:smooth val="0"/>
        </c:ser>
        <c:axId val="2041453638"/>
        <c:axId val="580502686"/>
      </c:lineChart>
      <c:catAx>
        <c:axId val="2041453638"/>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580502686"/>
      </c:catAx>
      <c:valAx>
        <c:axId val="580502686"/>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2041453638"/>
      </c:valAx>
    </c:plotArea>
    <c:legend>
      <c:legendPos val="b"/>
      <c:overlay val="0"/>
      <c:txPr>
        <a:bodyPr/>
        <a:lstStyle/>
        <a:p>
          <a:pPr lvl="0">
            <a:defRPr b="0">
              <a:solidFill>
                <a:srgbClr val="1A1A1A"/>
              </a:solidFill>
              <a:latin typeface="Arial"/>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6</a:t>
            </a:r>
          </a:p>
        </c:rich>
      </c:tx>
      <c:overlay val="0"/>
    </c:title>
    <c:plotArea>
      <c:layout/>
      <c:lineChart>
        <c:ser>
          <c:idx val="0"/>
          <c:order val="0"/>
          <c:tx>
            <c:strRef>
              <c:f>'Burndown por Iteração'!$B$265</c:f>
            </c:strRef>
          </c:tx>
          <c:spPr>
            <a:ln cmpd="sng">
              <a:solidFill>
                <a:srgbClr val="999999"/>
              </a:solidFill>
            </a:ln>
          </c:spPr>
          <c:marker>
            <c:symbol val="circle"/>
            <c:size val="4"/>
            <c:spPr>
              <a:solidFill>
                <a:srgbClr val="999999"/>
              </a:solidFill>
              <a:ln cmpd="sng">
                <a:solidFill>
                  <a:srgbClr val="999999"/>
                </a:solidFill>
              </a:ln>
            </c:spPr>
          </c:marker>
          <c:cat>
            <c:strRef>
              <c:f>'Burndown por Iteração'!$D$266:$D$273</c:f>
            </c:strRef>
          </c:cat>
          <c:val>
            <c:numRef>
              <c:f>'Burndown por Iteração'!$B$266:$B$273</c:f>
              <c:numCache/>
            </c:numRef>
          </c:val>
          <c:smooth val="0"/>
        </c:ser>
        <c:ser>
          <c:idx val="1"/>
          <c:order val="1"/>
          <c:tx>
            <c:strRef>
              <c:f>'Burndown por Iteração'!$C$265</c:f>
            </c:strRef>
          </c:tx>
          <c:spPr>
            <a:ln cmpd="sng">
              <a:solidFill>
                <a:srgbClr val="286DCC"/>
              </a:solidFill>
            </a:ln>
          </c:spPr>
          <c:marker>
            <c:symbol val="circle"/>
            <c:size val="5"/>
            <c:spPr>
              <a:solidFill>
                <a:srgbClr val="286DCC"/>
              </a:solidFill>
              <a:ln cmpd="sng">
                <a:solidFill>
                  <a:srgbClr val="286DCC"/>
                </a:solidFill>
              </a:ln>
            </c:spPr>
          </c:marker>
          <c:cat>
            <c:strRef>
              <c:f>'Burndown por Iteração'!$D$266:$D$273</c:f>
            </c:strRef>
          </c:cat>
          <c:val>
            <c:numRef>
              <c:f>'Burndown por Iteração'!$C$266:$C$273</c:f>
              <c:numCache/>
            </c:numRef>
          </c:val>
          <c:smooth val="0"/>
        </c:ser>
        <c:axId val="903151807"/>
        <c:axId val="319788940"/>
      </c:lineChart>
      <c:catAx>
        <c:axId val="903151807"/>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319788940"/>
      </c:catAx>
      <c:valAx>
        <c:axId val="319788940"/>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903151807"/>
      </c:valAx>
    </c:plotArea>
    <c:legend>
      <c:legendPos val="b"/>
      <c:overlay val="0"/>
      <c:txPr>
        <a:bodyPr/>
        <a:lstStyle/>
        <a:p>
          <a:pPr lvl="0">
            <a:defRPr b="0">
              <a:solidFill>
                <a:srgbClr val="1A1A1A"/>
              </a:solidFill>
              <a:latin typeface="Arial"/>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7</a:t>
            </a:r>
          </a:p>
        </c:rich>
      </c:tx>
      <c:overlay val="0"/>
    </c:title>
    <c:plotArea>
      <c:layout/>
      <c:lineChart>
        <c:ser>
          <c:idx val="0"/>
          <c:order val="0"/>
          <c:tx>
            <c:strRef>
              <c:f>'Burndown por Iteração'!$B$312</c:f>
            </c:strRef>
          </c:tx>
          <c:spPr>
            <a:ln cmpd="sng">
              <a:solidFill>
                <a:srgbClr val="999999"/>
              </a:solidFill>
            </a:ln>
          </c:spPr>
          <c:marker>
            <c:symbol val="circle"/>
            <c:size val="4"/>
            <c:spPr>
              <a:solidFill>
                <a:srgbClr val="999999"/>
              </a:solidFill>
              <a:ln cmpd="sng">
                <a:solidFill>
                  <a:srgbClr val="999999"/>
                </a:solidFill>
              </a:ln>
            </c:spPr>
          </c:marker>
          <c:cat>
            <c:strRef>
              <c:f>'Burndown por Iteração'!$D$313:$D$320</c:f>
            </c:strRef>
          </c:cat>
          <c:val>
            <c:numRef>
              <c:f>'Burndown por Iteração'!$B$313:$B$320</c:f>
              <c:numCache/>
            </c:numRef>
          </c:val>
          <c:smooth val="0"/>
        </c:ser>
        <c:ser>
          <c:idx val="1"/>
          <c:order val="1"/>
          <c:tx>
            <c:strRef>
              <c:f>'Burndown por Iteração'!$C$312</c:f>
            </c:strRef>
          </c:tx>
          <c:spPr>
            <a:ln cmpd="sng">
              <a:solidFill>
                <a:srgbClr val="286DCC"/>
              </a:solidFill>
            </a:ln>
          </c:spPr>
          <c:marker>
            <c:symbol val="circle"/>
            <c:size val="5"/>
            <c:spPr>
              <a:solidFill>
                <a:srgbClr val="286DCC"/>
              </a:solidFill>
              <a:ln cmpd="sng">
                <a:solidFill>
                  <a:srgbClr val="286DCC"/>
                </a:solidFill>
              </a:ln>
            </c:spPr>
          </c:marker>
          <c:cat>
            <c:strRef>
              <c:f>'Burndown por Iteração'!$D$313:$D$320</c:f>
            </c:strRef>
          </c:cat>
          <c:val>
            <c:numRef>
              <c:f>'Burndown por Iteração'!$C$313:$C$320</c:f>
              <c:numCache/>
            </c:numRef>
          </c:val>
          <c:smooth val="0"/>
        </c:ser>
        <c:axId val="539523172"/>
        <c:axId val="834721060"/>
      </c:lineChart>
      <c:catAx>
        <c:axId val="539523172"/>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834721060"/>
      </c:catAx>
      <c:valAx>
        <c:axId val="834721060"/>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539523172"/>
      </c:valAx>
    </c:plotArea>
    <c:legend>
      <c:legendPos val="b"/>
      <c:overlay val="0"/>
      <c:txPr>
        <a:bodyPr/>
        <a:lstStyle/>
        <a:p>
          <a:pPr lvl="0">
            <a:defRPr b="0">
              <a:solidFill>
                <a:srgbClr val="1A1A1A"/>
              </a:solidFill>
              <a:latin typeface="Arial"/>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8</a:t>
            </a:r>
          </a:p>
        </c:rich>
      </c:tx>
      <c:overlay val="0"/>
    </c:title>
    <c:plotArea>
      <c:layout/>
      <c:lineChart>
        <c:ser>
          <c:idx val="0"/>
          <c:order val="0"/>
          <c:tx>
            <c:strRef>
              <c:f>'Burndown por Iteração'!$B$359</c:f>
            </c:strRef>
          </c:tx>
          <c:spPr>
            <a:ln cmpd="sng">
              <a:solidFill>
                <a:srgbClr val="999999"/>
              </a:solidFill>
            </a:ln>
          </c:spPr>
          <c:marker>
            <c:symbol val="circle"/>
            <c:size val="4"/>
            <c:spPr>
              <a:solidFill>
                <a:srgbClr val="999999"/>
              </a:solidFill>
              <a:ln cmpd="sng">
                <a:solidFill>
                  <a:srgbClr val="999999"/>
                </a:solidFill>
              </a:ln>
            </c:spPr>
          </c:marker>
          <c:cat>
            <c:strRef>
              <c:f>'Burndown por Iteração'!$D$360:$D$367</c:f>
            </c:strRef>
          </c:cat>
          <c:val>
            <c:numRef>
              <c:f>'Burndown por Iteração'!$B$360:$B$367</c:f>
              <c:numCache/>
            </c:numRef>
          </c:val>
          <c:smooth val="0"/>
        </c:ser>
        <c:ser>
          <c:idx val="1"/>
          <c:order val="1"/>
          <c:tx>
            <c:strRef>
              <c:f>'Burndown por Iteração'!$C$359</c:f>
            </c:strRef>
          </c:tx>
          <c:spPr>
            <a:ln cmpd="sng">
              <a:solidFill>
                <a:srgbClr val="286DCC"/>
              </a:solidFill>
            </a:ln>
          </c:spPr>
          <c:marker>
            <c:symbol val="circle"/>
            <c:size val="5"/>
            <c:spPr>
              <a:solidFill>
                <a:srgbClr val="286DCC"/>
              </a:solidFill>
              <a:ln cmpd="sng">
                <a:solidFill>
                  <a:srgbClr val="286DCC"/>
                </a:solidFill>
              </a:ln>
            </c:spPr>
          </c:marker>
          <c:cat>
            <c:strRef>
              <c:f>'Burndown por Iteração'!$D$360:$D$367</c:f>
            </c:strRef>
          </c:cat>
          <c:val>
            <c:numRef>
              <c:f>'Burndown por Iteração'!$C$360:$C$367</c:f>
              <c:numCache/>
            </c:numRef>
          </c:val>
          <c:smooth val="0"/>
        </c:ser>
        <c:axId val="1788009460"/>
        <c:axId val="1344222377"/>
      </c:lineChart>
      <c:catAx>
        <c:axId val="1788009460"/>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344222377"/>
      </c:catAx>
      <c:valAx>
        <c:axId val="1344222377"/>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788009460"/>
      </c:valAx>
    </c:plotArea>
    <c:legend>
      <c:legendPos val="b"/>
      <c:overlay val="0"/>
      <c:txPr>
        <a:bodyPr/>
        <a:lstStyle/>
        <a:p>
          <a:pPr lvl="0">
            <a:defRPr b="0">
              <a:solidFill>
                <a:srgbClr val="1A1A1A"/>
              </a:solidFill>
              <a:latin typeface="Arial"/>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9</a:t>
            </a:r>
          </a:p>
        </c:rich>
      </c:tx>
      <c:overlay val="0"/>
    </c:title>
    <c:plotArea>
      <c:layout/>
      <c:lineChart>
        <c:ser>
          <c:idx val="0"/>
          <c:order val="0"/>
          <c:tx>
            <c:strRef>
              <c:f>'Burndown por Iteração'!$B$406</c:f>
            </c:strRef>
          </c:tx>
          <c:spPr>
            <a:ln cmpd="sng">
              <a:solidFill>
                <a:srgbClr val="999999"/>
              </a:solidFill>
            </a:ln>
          </c:spPr>
          <c:marker>
            <c:symbol val="circle"/>
            <c:size val="4"/>
            <c:spPr>
              <a:solidFill>
                <a:srgbClr val="999999"/>
              </a:solidFill>
              <a:ln cmpd="sng">
                <a:solidFill>
                  <a:srgbClr val="999999"/>
                </a:solidFill>
              </a:ln>
            </c:spPr>
          </c:marker>
          <c:cat>
            <c:strRef>
              <c:f>'Burndown por Iteração'!$D$407:$D$414</c:f>
            </c:strRef>
          </c:cat>
          <c:val>
            <c:numRef>
              <c:f>'Burndown por Iteração'!$B$407:$B$414</c:f>
              <c:numCache/>
            </c:numRef>
          </c:val>
          <c:smooth val="0"/>
        </c:ser>
        <c:ser>
          <c:idx val="1"/>
          <c:order val="1"/>
          <c:tx>
            <c:strRef>
              <c:f>'Burndown por Iteração'!$C$406</c:f>
            </c:strRef>
          </c:tx>
          <c:spPr>
            <a:ln cmpd="sng">
              <a:solidFill>
                <a:srgbClr val="286DCC"/>
              </a:solidFill>
            </a:ln>
          </c:spPr>
          <c:marker>
            <c:symbol val="circle"/>
            <c:size val="5"/>
            <c:spPr>
              <a:solidFill>
                <a:srgbClr val="286DCC"/>
              </a:solidFill>
              <a:ln cmpd="sng">
                <a:solidFill>
                  <a:srgbClr val="286DCC"/>
                </a:solidFill>
              </a:ln>
            </c:spPr>
          </c:marker>
          <c:cat>
            <c:strRef>
              <c:f>'Burndown por Iteração'!$D$407:$D$414</c:f>
            </c:strRef>
          </c:cat>
          <c:val>
            <c:numRef>
              <c:f>'Burndown por Iteração'!$C$407:$C$414</c:f>
              <c:numCache/>
            </c:numRef>
          </c:val>
          <c:smooth val="0"/>
        </c:ser>
        <c:axId val="1431752268"/>
        <c:axId val="1299721737"/>
      </c:lineChart>
      <c:catAx>
        <c:axId val="1431752268"/>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299721737"/>
      </c:catAx>
      <c:valAx>
        <c:axId val="1299721737"/>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431752268"/>
      </c:valAx>
    </c:plotArea>
    <c:legend>
      <c:legendPos val="b"/>
      <c:overlay val="0"/>
      <c:txPr>
        <a:bodyPr/>
        <a:lstStyle/>
        <a:p>
          <a:pPr lvl="0">
            <a:defRPr b="0">
              <a:solidFill>
                <a:srgbClr val="1A1A1A"/>
              </a:solidFill>
              <a:latin typeface="Arial"/>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10</a:t>
            </a:r>
          </a:p>
        </c:rich>
      </c:tx>
      <c:overlay val="0"/>
    </c:title>
    <c:plotArea>
      <c:layout/>
      <c:lineChart>
        <c:ser>
          <c:idx val="0"/>
          <c:order val="0"/>
          <c:tx>
            <c:strRef>
              <c:f>'Burndown por Iteração'!$B$453</c:f>
            </c:strRef>
          </c:tx>
          <c:spPr>
            <a:ln cmpd="sng">
              <a:solidFill>
                <a:srgbClr val="999999"/>
              </a:solidFill>
            </a:ln>
          </c:spPr>
          <c:marker>
            <c:symbol val="circle"/>
            <c:size val="4"/>
            <c:spPr>
              <a:solidFill>
                <a:srgbClr val="999999"/>
              </a:solidFill>
              <a:ln cmpd="sng">
                <a:solidFill>
                  <a:srgbClr val="999999"/>
                </a:solidFill>
              </a:ln>
            </c:spPr>
          </c:marker>
          <c:cat>
            <c:strRef>
              <c:f>'Burndown por Iteração'!$D$454:$D$461</c:f>
            </c:strRef>
          </c:cat>
          <c:val>
            <c:numRef>
              <c:f>'Burndown por Iteração'!$B$454:$B$461</c:f>
              <c:numCache/>
            </c:numRef>
          </c:val>
          <c:smooth val="0"/>
        </c:ser>
        <c:ser>
          <c:idx val="1"/>
          <c:order val="1"/>
          <c:tx>
            <c:strRef>
              <c:f>'Burndown por Iteração'!$C$453</c:f>
            </c:strRef>
          </c:tx>
          <c:spPr>
            <a:ln cmpd="sng">
              <a:solidFill>
                <a:srgbClr val="286DCC"/>
              </a:solidFill>
            </a:ln>
          </c:spPr>
          <c:marker>
            <c:symbol val="circle"/>
            <c:size val="5"/>
            <c:spPr>
              <a:solidFill>
                <a:srgbClr val="286DCC"/>
              </a:solidFill>
              <a:ln cmpd="sng">
                <a:solidFill>
                  <a:srgbClr val="286DCC"/>
                </a:solidFill>
              </a:ln>
            </c:spPr>
          </c:marker>
          <c:cat>
            <c:strRef>
              <c:f>'Burndown por Iteração'!$D$454:$D$461</c:f>
            </c:strRef>
          </c:cat>
          <c:val>
            <c:numRef>
              <c:f>'Burndown por Iteração'!$C$454:$C$461</c:f>
              <c:numCache/>
            </c:numRef>
          </c:val>
          <c:smooth val="0"/>
        </c:ser>
        <c:axId val="2130160879"/>
        <c:axId val="1727186873"/>
      </c:lineChart>
      <c:catAx>
        <c:axId val="2130160879"/>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727186873"/>
      </c:catAx>
      <c:valAx>
        <c:axId val="1727186873"/>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2130160879"/>
      </c:valAx>
    </c:plotArea>
    <c:legend>
      <c:legendPos val="b"/>
      <c:overlay val="0"/>
      <c:txPr>
        <a:bodyPr/>
        <a:lstStyle/>
        <a:p>
          <a:pPr lvl="0">
            <a:defRPr b="0">
              <a:solidFill>
                <a:srgbClr val="1A1A1A"/>
              </a:solidFill>
              <a:latin typeface="Arial"/>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11</a:t>
            </a:r>
          </a:p>
        </c:rich>
      </c:tx>
      <c:overlay val="0"/>
    </c:title>
    <c:plotArea>
      <c:layout/>
      <c:lineChart>
        <c:ser>
          <c:idx val="0"/>
          <c:order val="0"/>
          <c:tx>
            <c:strRef>
              <c:f>'Burndown por Iteração'!$B$500</c:f>
            </c:strRef>
          </c:tx>
          <c:spPr>
            <a:ln cmpd="sng">
              <a:solidFill>
                <a:srgbClr val="999999"/>
              </a:solidFill>
            </a:ln>
          </c:spPr>
          <c:marker>
            <c:symbol val="circle"/>
            <c:size val="4"/>
            <c:spPr>
              <a:solidFill>
                <a:srgbClr val="999999"/>
              </a:solidFill>
              <a:ln cmpd="sng">
                <a:solidFill>
                  <a:srgbClr val="999999"/>
                </a:solidFill>
              </a:ln>
            </c:spPr>
          </c:marker>
          <c:cat>
            <c:strRef>
              <c:f>'Burndown por Iteração'!$D$501:$D$508</c:f>
            </c:strRef>
          </c:cat>
          <c:val>
            <c:numRef>
              <c:f>'Burndown por Iteração'!$B$501:$B$508</c:f>
              <c:numCache/>
            </c:numRef>
          </c:val>
          <c:smooth val="0"/>
        </c:ser>
        <c:ser>
          <c:idx val="1"/>
          <c:order val="1"/>
          <c:tx>
            <c:strRef>
              <c:f>'Burndown por Iteração'!$C$500</c:f>
            </c:strRef>
          </c:tx>
          <c:spPr>
            <a:ln cmpd="sng">
              <a:solidFill>
                <a:srgbClr val="286DCC"/>
              </a:solidFill>
            </a:ln>
          </c:spPr>
          <c:marker>
            <c:symbol val="circle"/>
            <c:size val="5"/>
            <c:spPr>
              <a:solidFill>
                <a:srgbClr val="286DCC"/>
              </a:solidFill>
              <a:ln cmpd="sng">
                <a:solidFill>
                  <a:srgbClr val="286DCC"/>
                </a:solidFill>
              </a:ln>
            </c:spPr>
          </c:marker>
          <c:cat>
            <c:strRef>
              <c:f>'Burndown por Iteração'!$D$501:$D$508</c:f>
            </c:strRef>
          </c:cat>
          <c:val>
            <c:numRef>
              <c:f>'Burndown por Iteração'!$C$501:$C$508</c:f>
              <c:numCache/>
            </c:numRef>
          </c:val>
          <c:smooth val="0"/>
        </c:ser>
        <c:axId val="538970805"/>
        <c:axId val="749163288"/>
      </c:lineChart>
      <c:catAx>
        <c:axId val="538970805"/>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749163288"/>
      </c:catAx>
      <c:valAx>
        <c:axId val="749163288"/>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538970805"/>
      </c:valAx>
    </c:plotArea>
    <c:legend>
      <c:legendPos val="b"/>
      <c:overlay val="0"/>
      <c:txPr>
        <a:bodyPr/>
        <a:lstStyle/>
        <a:p>
          <a:pPr lvl="0">
            <a:defRPr b="0">
              <a:solidFill>
                <a:srgbClr val="1A1A1A"/>
              </a:solidFill>
              <a:latin typeface="Arial"/>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12</a:t>
            </a:r>
          </a:p>
        </c:rich>
      </c:tx>
      <c:overlay val="0"/>
    </c:title>
    <c:plotArea>
      <c:layout/>
      <c:lineChart>
        <c:ser>
          <c:idx val="0"/>
          <c:order val="0"/>
          <c:tx>
            <c:strRef>
              <c:f>'Burndown por Iteração'!$B$547</c:f>
            </c:strRef>
          </c:tx>
          <c:spPr>
            <a:ln cmpd="sng">
              <a:solidFill>
                <a:srgbClr val="999999"/>
              </a:solidFill>
            </a:ln>
          </c:spPr>
          <c:marker>
            <c:symbol val="circle"/>
            <c:size val="4"/>
            <c:spPr>
              <a:solidFill>
                <a:srgbClr val="999999"/>
              </a:solidFill>
              <a:ln cmpd="sng">
                <a:solidFill>
                  <a:srgbClr val="999999"/>
                </a:solidFill>
              </a:ln>
            </c:spPr>
          </c:marker>
          <c:cat>
            <c:strRef>
              <c:f>'Burndown por Iteração'!$D$548:$D$555</c:f>
            </c:strRef>
          </c:cat>
          <c:val>
            <c:numRef>
              <c:f>'Burndown por Iteração'!$B$548:$B$555</c:f>
              <c:numCache/>
            </c:numRef>
          </c:val>
          <c:smooth val="0"/>
        </c:ser>
        <c:ser>
          <c:idx val="1"/>
          <c:order val="1"/>
          <c:tx>
            <c:strRef>
              <c:f>'Burndown por Iteração'!$C$547</c:f>
            </c:strRef>
          </c:tx>
          <c:spPr>
            <a:ln cmpd="sng">
              <a:solidFill>
                <a:srgbClr val="286DCC"/>
              </a:solidFill>
            </a:ln>
          </c:spPr>
          <c:marker>
            <c:symbol val="circle"/>
            <c:size val="5"/>
            <c:spPr>
              <a:solidFill>
                <a:srgbClr val="286DCC"/>
              </a:solidFill>
              <a:ln cmpd="sng">
                <a:solidFill>
                  <a:srgbClr val="286DCC"/>
                </a:solidFill>
              </a:ln>
            </c:spPr>
          </c:marker>
          <c:cat>
            <c:strRef>
              <c:f>'Burndown por Iteração'!$D$548:$D$555</c:f>
            </c:strRef>
          </c:cat>
          <c:val>
            <c:numRef>
              <c:f>'Burndown por Iteração'!$C$548:$C$555</c:f>
              <c:numCache/>
            </c:numRef>
          </c:val>
          <c:smooth val="0"/>
        </c:ser>
        <c:axId val="65253224"/>
        <c:axId val="822602829"/>
      </c:lineChart>
      <c:catAx>
        <c:axId val="65253224"/>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822602829"/>
      </c:catAx>
      <c:valAx>
        <c:axId val="822602829"/>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65253224"/>
      </c:valAx>
    </c:plotArea>
    <c:legend>
      <c:legendPos val="b"/>
      <c:overlay val="0"/>
      <c:txPr>
        <a:bodyPr/>
        <a:lstStyle/>
        <a:p>
          <a:pPr lvl="0">
            <a:defRPr b="0">
              <a:solidFill>
                <a:srgbClr val="1A1A1A"/>
              </a:solidFill>
              <a:latin typeface="Arial"/>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13</a:t>
            </a:r>
          </a:p>
        </c:rich>
      </c:tx>
      <c:overlay val="0"/>
    </c:title>
    <c:plotArea>
      <c:layout/>
      <c:lineChart>
        <c:ser>
          <c:idx val="0"/>
          <c:order val="0"/>
          <c:tx>
            <c:strRef>
              <c:f>'Burndown por Iteração'!$B$594</c:f>
            </c:strRef>
          </c:tx>
          <c:spPr>
            <a:ln cmpd="sng">
              <a:solidFill>
                <a:srgbClr val="999999"/>
              </a:solidFill>
            </a:ln>
          </c:spPr>
          <c:marker>
            <c:symbol val="circle"/>
            <c:size val="4"/>
            <c:spPr>
              <a:solidFill>
                <a:srgbClr val="999999"/>
              </a:solidFill>
              <a:ln cmpd="sng">
                <a:solidFill>
                  <a:srgbClr val="999999"/>
                </a:solidFill>
              </a:ln>
            </c:spPr>
          </c:marker>
          <c:cat>
            <c:strRef>
              <c:f>'Burndown por Iteração'!$D$595:$D$602</c:f>
            </c:strRef>
          </c:cat>
          <c:val>
            <c:numRef>
              <c:f>'Burndown por Iteração'!$B$595:$B$602</c:f>
              <c:numCache/>
            </c:numRef>
          </c:val>
          <c:smooth val="0"/>
        </c:ser>
        <c:ser>
          <c:idx val="1"/>
          <c:order val="1"/>
          <c:tx>
            <c:strRef>
              <c:f>'Burndown por Iteração'!$C$594</c:f>
            </c:strRef>
          </c:tx>
          <c:spPr>
            <a:ln cmpd="sng">
              <a:solidFill>
                <a:srgbClr val="286DCC"/>
              </a:solidFill>
            </a:ln>
          </c:spPr>
          <c:marker>
            <c:symbol val="circle"/>
            <c:size val="5"/>
            <c:spPr>
              <a:solidFill>
                <a:srgbClr val="286DCC"/>
              </a:solidFill>
              <a:ln cmpd="sng">
                <a:solidFill>
                  <a:srgbClr val="286DCC"/>
                </a:solidFill>
              </a:ln>
            </c:spPr>
          </c:marker>
          <c:cat>
            <c:strRef>
              <c:f>'Burndown por Iteração'!$D$595:$D$602</c:f>
            </c:strRef>
          </c:cat>
          <c:val>
            <c:numRef>
              <c:f>'Burndown por Iteração'!$C$595:$C$602</c:f>
              <c:numCache/>
            </c:numRef>
          </c:val>
          <c:smooth val="0"/>
        </c:ser>
        <c:axId val="1295317794"/>
        <c:axId val="1238605385"/>
      </c:lineChart>
      <c:catAx>
        <c:axId val="1295317794"/>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238605385"/>
      </c:catAx>
      <c:valAx>
        <c:axId val="1238605385"/>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295317794"/>
      </c:valAx>
    </c:plotArea>
    <c:legend>
      <c:legendPos val="b"/>
      <c:overlay val="0"/>
      <c:txPr>
        <a:bodyPr/>
        <a:lstStyle/>
        <a:p>
          <a:pPr lvl="0">
            <a:defRPr b="0">
              <a:solidFill>
                <a:srgbClr val="1A1A1A"/>
              </a:solidFill>
              <a:latin typeface="Arial"/>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14</a:t>
            </a:r>
          </a:p>
        </c:rich>
      </c:tx>
      <c:overlay val="0"/>
    </c:title>
    <c:plotArea>
      <c:layout/>
      <c:lineChart>
        <c:ser>
          <c:idx val="0"/>
          <c:order val="0"/>
          <c:tx>
            <c:strRef>
              <c:f>'Burndown por Iteração'!$B$641</c:f>
            </c:strRef>
          </c:tx>
          <c:spPr>
            <a:ln cmpd="sng">
              <a:solidFill>
                <a:srgbClr val="999999"/>
              </a:solidFill>
            </a:ln>
          </c:spPr>
          <c:marker>
            <c:symbol val="circle"/>
            <c:size val="4"/>
            <c:spPr>
              <a:solidFill>
                <a:srgbClr val="999999"/>
              </a:solidFill>
              <a:ln cmpd="sng">
                <a:solidFill>
                  <a:srgbClr val="999999"/>
                </a:solidFill>
              </a:ln>
            </c:spPr>
          </c:marker>
          <c:cat>
            <c:strRef>
              <c:f>'Burndown por Iteração'!$D$642:$D$649</c:f>
            </c:strRef>
          </c:cat>
          <c:val>
            <c:numRef>
              <c:f>'Burndown por Iteração'!$B$642:$B$649</c:f>
              <c:numCache/>
            </c:numRef>
          </c:val>
          <c:smooth val="0"/>
        </c:ser>
        <c:ser>
          <c:idx val="1"/>
          <c:order val="1"/>
          <c:tx>
            <c:strRef>
              <c:f>'Burndown por Iteração'!$C$641</c:f>
            </c:strRef>
          </c:tx>
          <c:spPr>
            <a:ln cmpd="sng">
              <a:solidFill>
                <a:srgbClr val="286DCC"/>
              </a:solidFill>
            </a:ln>
          </c:spPr>
          <c:marker>
            <c:symbol val="circle"/>
            <c:size val="5"/>
            <c:spPr>
              <a:solidFill>
                <a:srgbClr val="286DCC"/>
              </a:solidFill>
              <a:ln cmpd="sng">
                <a:solidFill>
                  <a:srgbClr val="286DCC"/>
                </a:solidFill>
              </a:ln>
            </c:spPr>
          </c:marker>
          <c:cat>
            <c:strRef>
              <c:f>'Burndown por Iteração'!$D$642:$D$649</c:f>
            </c:strRef>
          </c:cat>
          <c:val>
            <c:numRef>
              <c:f>'Burndown por Iteração'!$C$642:$C$649</c:f>
              <c:numCache/>
            </c:numRef>
          </c:val>
          <c:smooth val="0"/>
        </c:ser>
        <c:axId val="1930517097"/>
        <c:axId val="1554819947"/>
      </c:lineChart>
      <c:catAx>
        <c:axId val="1930517097"/>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554819947"/>
      </c:catAx>
      <c:valAx>
        <c:axId val="1554819947"/>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930517097"/>
      </c:valAx>
    </c:plotArea>
    <c:legend>
      <c:legendPos val="b"/>
      <c:overlay val="0"/>
      <c:txPr>
        <a:bodyPr/>
        <a:lstStyle/>
        <a:p>
          <a:pPr lvl="0">
            <a:defRPr b="0">
              <a:solidFill>
                <a:srgbClr val="1A1A1A"/>
              </a:solidFill>
              <a:latin typeface="Arial"/>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15</a:t>
            </a:r>
          </a:p>
        </c:rich>
      </c:tx>
      <c:overlay val="0"/>
    </c:title>
    <c:plotArea>
      <c:layout/>
      <c:lineChart>
        <c:ser>
          <c:idx val="0"/>
          <c:order val="0"/>
          <c:tx>
            <c:strRef>
              <c:f>'Burndown por Iteração'!$B$688</c:f>
            </c:strRef>
          </c:tx>
          <c:spPr>
            <a:ln cmpd="sng">
              <a:solidFill>
                <a:srgbClr val="999999"/>
              </a:solidFill>
            </a:ln>
          </c:spPr>
          <c:marker>
            <c:symbol val="circle"/>
            <c:size val="4"/>
            <c:spPr>
              <a:solidFill>
                <a:srgbClr val="999999"/>
              </a:solidFill>
              <a:ln cmpd="sng">
                <a:solidFill>
                  <a:srgbClr val="999999"/>
                </a:solidFill>
              </a:ln>
            </c:spPr>
          </c:marker>
          <c:cat>
            <c:strRef>
              <c:f>'Burndown por Iteração'!$D$689:$D$696</c:f>
            </c:strRef>
          </c:cat>
          <c:val>
            <c:numRef>
              <c:f>'Burndown por Iteração'!$B$689:$B$696</c:f>
              <c:numCache/>
            </c:numRef>
          </c:val>
          <c:smooth val="0"/>
        </c:ser>
        <c:ser>
          <c:idx val="1"/>
          <c:order val="1"/>
          <c:tx>
            <c:strRef>
              <c:f>'Burndown por Iteração'!$C$688</c:f>
            </c:strRef>
          </c:tx>
          <c:spPr>
            <a:ln cmpd="sng">
              <a:solidFill>
                <a:srgbClr val="286DCC"/>
              </a:solidFill>
            </a:ln>
          </c:spPr>
          <c:marker>
            <c:symbol val="circle"/>
            <c:size val="5"/>
            <c:spPr>
              <a:solidFill>
                <a:srgbClr val="286DCC"/>
              </a:solidFill>
              <a:ln cmpd="sng">
                <a:solidFill>
                  <a:srgbClr val="286DCC"/>
                </a:solidFill>
              </a:ln>
            </c:spPr>
          </c:marker>
          <c:cat>
            <c:strRef>
              <c:f>'Burndown por Iteração'!$D$689:$D$696</c:f>
            </c:strRef>
          </c:cat>
          <c:val>
            <c:numRef>
              <c:f>'Burndown por Iteração'!$C$689:$C$696</c:f>
              <c:numCache/>
            </c:numRef>
          </c:val>
          <c:smooth val="0"/>
        </c:ser>
        <c:axId val="446117389"/>
        <c:axId val="359848468"/>
      </c:lineChart>
      <c:catAx>
        <c:axId val="446117389"/>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359848468"/>
      </c:catAx>
      <c:valAx>
        <c:axId val="359848468"/>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446117389"/>
      </c:valAx>
    </c:plotArea>
    <c:legend>
      <c:legendPos val="b"/>
      <c:overlay val="0"/>
      <c:txPr>
        <a:bodyPr/>
        <a:lstStyle/>
        <a:p>
          <a:pPr lvl="0">
            <a:defRPr b="0">
              <a:solidFill>
                <a:srgbClr val="1A1A1A"/>
              </a:solidFill>
              <a:latin typeface="Arial"/>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Burndown - Iteração 16</a:t>
            </a:r>
          </a:p>
        </c:rich>
      </c:tx>
      <c:overlay val="0"/>
    </c:title>
    <c:plotArea>
      <c:layout/>
      <c:lineChart>
        <c:ser>
          <c:idx val="0"/>
          <c:order val="0"/>
          <c:tx>
            <c:strRef>
              <c:f>'Burndown por Iteração'!$B$735</c:f>
            </c:strRef>
          </c:tx>
          <c:spPr>
            <a:ln cmpd="sng">
              <a:solidFill>
                <a:srgbClr val="999999"/>
              </a:solidFill>
            </a:ln>
          </c:spPr>
          <c:marker>
            <c:symbol val="circle"/>
            <c:size val="4"/>
            <c:spPr>
              <a:solidFill>
                <a:srgbClr val="999999"/>
              </a:solidFill>
              <a:ln cmpd="sng">
                <a:solidFill>
                  <a:srgbClr val="999999"/>
                </a:solidFill>
              </a:ln>
            </c:spPr>
          </c:marker>
          <c:cat>
            <c:strRef>
              <c:f>'Burndown por Iteração'!$D$736:$D$743</c:f>
            </c:strRef>
          </c:cat>
          <c:val>
            <c:numRef>
              <c:f>'Burndown por Iteração'!$B$736:$B$743</c:f>
              <c:numCache/>
            </c:numRef>
          </c:val>
          <c:smooth val="0"/>
        </c:ser>
        <c:ser>
          <c:idx val="1"/>
          <c:order val="1"/>
          <c:tx>
            <c:strRef>
              <c:f>'Burndown por Iteração'!$C$735</c:f>
            </c:strRef>
          </c:tx>
          <c:spPr>
            <a:ln cmpd="sng">
              <a:solidFill>
                <a:srgbClr val="286DCC"/>
              </a:solidFill>
            </a:ln>
          </c:spPr>
          <c:marker>
            <c:symbol val="circle"/>
            <c:size val="5"/>
            <c:spPr>
              <a:solidFill>
                <a:srgbClr val="286DCC"/>
              </a:solidFill>
              <a:ln cmpd="sng">
                <a:solidFill>
                  <a:srgbClr val="286DCC"/>
                </a:solidFill>
              </a:ln>
            </c:spPr>
          </c:marker>
          <c:cat>
            <c:strRef>
              <c:f>'Burndown por Iteração'!$D$736:$D$743</c:f>
            </c:strRef>
          </c:cat>
          <c:val>
            <c:numRef>
              <c:f>'Burndown por Iteração'!$C$736:$C$743</c:f>
              <c:numCache/>
            </c:numRef>
          </c:val>
          <c:smooth val="0"/>
        </c:ser>
        <c:axId val="663362267"/>
        <c:axId val="325870122"/>
      </c:lineChart>
      <c:catAx>
        <c:axId val="663362267"/>
        <c:scaling>
          <c:orientation val="minMax"/>
          <c:max val="7.0"/>
          <c:min val="0.0"/>
        </c:scaling>
        <c:delete val="0"/>
        <c:axPos val="b"/>
        <c:title>
          <c:tx>
            <c:rich>
              <a:bodyPr/>
              <a:lstStyle/>
              <a:p>
                <a:pPr lvl="0">
                  <a:defRPr b="0">
                    <a:solidFill>
                      <a:srgbClr val="000000"/>
                    </a:solidFill>
                    <a:latin typeface="Arial"/>
                  </a:defRPr>
                </a:pPr>
                <a:r>
                  <a:rPr b="0">
                    <a:solidFill>
                      <a:srgbClr val="000000"/>
                    </a:solidFill>
                    <a:latin typeface="Arial"/>
                  </a:rPr>
                  <a:t>Dia da iteração (0 = início)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325870122"/>
      </c:catAx>
      <c:valAx>
        <c:axId val="325870122"/>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Esforço planejado restante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663362267"/>
      </c:valAx>
    </c:plotArea>
    <c:legend>
      <c:legendPos val="b"/>
      <c:overlay val="0"/>
      <c:txPr>
        <a:bodyPr/>
        <a:lstStyle/>
        <a:p>
          <a:pPr lvl="0">
            <a:defRPr b="0">
              <a:solidFill>
                <a:srgbClr val="1A1A1A"/>
              </a:solidFill>
              <a:latin typeface="Arial"/>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Ideal Burndown and Actual Burndown</a:t>
            </a:r>
          </a:p>
        </c:rich>
      </c:tx>
      <c:layout>
        <c:manualLayout>
          <c:xMode val="edge"/>
          <c:yMode val="edge"/>
          <c:x val="0.03091666666666667"/>
          <c:y val="0.052695417789757414"/>
        </c:manualLayout>
      </c:layout>
      <c:overlay val="0"/>
    </c:title>
    <c:plotArea>
      <c:layout/>
      <c:lineChart>
        <c:ser>
          <c:idx val="0"/>
          <c:order val="0"/>
          <c:tx>
            <c:strRef>
              <c:f>Burndown!$C$1</c:f>
            </c:strRef>
          </c:tx>
          <c:spPr>
            <a:ln cmpd="sng">
              <a:solidFill>
                <a:srgbClr val="4285F4"/>
              </a:solidFill>
            </a:ln>
          </c:spPr>
          <c:marker>
            <c:symbol val="circle"/>
            <c:size val="2"/>
            <c:spPr>
              <a:solidFill>
                <a:srgbClr val="4285F4"/>
              </a:solidFill>
              <a:ln cmpd="sng">
                <a:solidFill>
                  <a:srgbClr val="4285F4"/>
                </a:solidFill>
              </a:ln>
            </c:spPr>
          </c:marker>
          <c:cat>
            <c:strRef>
              <c:f>Burndown!$A$2:$A$999</c:f>
            </c:strRef>
          </c:cat>
          <c:val>
            <c:numRef>
              <c:f>Burndown!$C$2:$C$999</c:f>
              <c:numCache/>
            </c:numRef>
          </c:val>
          <c:smooth val="0"/>
        </c:ser>
        <c:ser>
          <c:idx val="1"/>
          <c:order val="1"/>
          <c:tx>
            <c:strRef>
              <c:f>Burndown!$D$1</c:f>
            </c:strRef>
          </c:tx>
          <c:spPr>
            <a:ln cmpd="sng">
              <a:solidFill>
                <a:srgbClr val="EA4335"/>
              </a:solidFill>
            </a:ln>
          </c:spPr>
          <c:marker>
            <c:symbol val="circle"/>
            <c:size val="2"/>
            <c:spPr>
              <a:solidFill>
                <a:srgbClr val="EA4335"/>
              </a:solidFill>
              <a:ln cmpd="sng">
                <a:solidFill>
                  <a:srgbClr val="EA4335"/>
                </a:solidFill>
              </a:ln>
            </c:spPr>
          </c:marker>
          <c:cat>
            <c:strRef>
              <c:f>Burndown!$A$2:$A$999</c:f>
            </c:strRef>
          </c:cat>
          <c:val>
            <c:numRef>
              <c:f>Burndown!$D$2:$D$999</c:f>
              <c:numCache/>
            </c:numRef>
          </c:val>
          <c:smooth val="0"/>
        </c:ser>
        <c:axId val="1296841540"/>
        <c:axId val="1411192016"/>
      </c:lineChart>
      <c:catAx>
        <c:axId val="12968415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layout>
            <c:manualLayout>
              <c:xMode val="edge"/>
              <c:yMode val="edge"/>
              <c:x val="0.07428580729166666"/>
              <c:y val="0.9149595687331534"/>
            </c:manualLayout>
          </c:layout>
          <c:overlay val="0"/>
        </c:title>
        <c:numFmt formatCode="General" sourceLinked="1"/>
        <c:majorTickMark val="none"/>
        <c:minorTickMark val="none"/>
        <c:spPr>
          <a:ln>
            <a:noFill/>
          </a:ln>
        </c:spPr>
        <c:txPr>
          <a:bodyPr rot="-1800000"/>
          <a:lstStyle/>
          <a:p>
            <a:pPr lvl="0">
              <a:defRPr b="0">
                <a:solidFill>
                  <a:srgbClr val="000000"/>
                </a:solidFill>
                <a:latin typeface="+mn-lt"/>
              </a:defRPr>
            </a:pPr>
          </a:p>
        </c:txPr>
        <c:crossAx val="1411192016"/>
      </c:catAx>
      <c:valAx>
        <c:axId val="14111920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29684154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1" Type="http://schemas.openxmlformats.org/officeDocument/2006/relationships/chart" Target="../charts/chart12.xml"/><Relationship Id="rId10" Type="http://schemas.openxmlformats.org/officeDocument/2006/relationships/chart" Target="../charts/chart11.xml"/><Relationship Id="rId13" Type="http://schemas.openxmlformats.org/officeDocument/2006/relationships/chart" Target="../charts/chart14.xml"/><Relationship Id="rId12" Type="http://schemas.openxmlformats.org/officeDocument/2006/relationships/chart" Target="../charts/chart13.xml"/><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9" Type="http://schemas.openxmlformats.org/officeDocument/2006/relationships/chart" Target="../charts/chart10.xml"/><Relationship Id="rId15" Type="http://schemas.openxmlformats.org/officeDocument/2006/relationships/chart" Target="../charts/chart16.xml"/><Relationship Id="rId14" Type="http://schemas.openxmlformats.org/officeDocument/2006/relationships/chart" Target="../charts/chart15.xml"/><Relationship Id="rId16" Type="http://schemas.openxmlformats.org/officeDocument/2006/relationships/chart" Target="../charts/chart17.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952500</xdr:colOff>
      <xdr:row>0</xdr:row>
      <xdr:rowOff>190500</xdr:rowOff>
    </xdr:from>
    <xdr:ext cx="5791200" cy="35909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23</xdr:row>
      <xdr:rowOff>0</xdr:rowOff>
    </xdr:from>
    <xdr:ext cx="6858000" cy="3714750"/>
    <xdr:graphicFrame>
      <xdr:nvGraphicFramePr>
        <xdr:cNvPr id="2" name="Chart 2" title="Burndown — Iteração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70</xdr:row>
      <xdr:rowOff>0</xdr:rowOff>
    </xdr:from>
    <xdr:ext cx="6858000" cy="3714750"/>
    <xdr:graphicFrame>
      <xdr:nvGraphicFramePr>
        <xdr:cNvPr id="3" name="Chart 3" title="Burndown — Iteração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0</xdr:colOff>
      <xdr:row>117</xdr:row>
      <xdr:rowOff>0</xdr:rowOff>
    </xdr:from>
    <xdr:ext cx="6858000" cy="3714750"/>
    <xdr:graphicFrame>
      <xdr:nvGraphicFramePr>
        <xdr:cNvPr id="5" name="Chart 5" title="Burndown — Iteração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0</xdr:colOff>
      <xdr:row>164</xdr:row>
      <xdr:rowOff>0</xdr:rowOff>
    </xdr:from>
    <xdr:ext cx="6858000" cy="3714750"/>
    <xdr:graphicFrame>
      <xdr:nvGraphicFramePr>
        <xdr:cNvPr id="6" name="Chart 6" title="Burndown — Iteração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0</xdr:colOff>
      <xdr:row>211</xdr:row>
      <xdr:rowOff>0</xdr:rowOff>
    </xdr:from>
    <xdr:ext cx="6858000" cy="3714750"/>
    <xdr:graphicFrame>
      <xdr:nvGraphicFramePr>
        <xdr:cNvPr id="7" name="Chart 7" title="Burndown — Iteração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xdr:col>
      <xdr:colOff>0</xdr:colOff>
      <xdr:row>258</xdr:row>
      <xdr:rowOff>0</xdr:rowOff>
    </xdr:from>
    <xdr:ext cx="6858000" cy="3714750"/>
    <xdr:graphicFrame>
      <xdr:nvGraphicFramePr>
        <xdr:cNvPr id="8" name="Chart 8" title="Burndown — Iteração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xdr:col>
      <xdr:colOff>0</xdr:colOff>
      <xdr:row>305</xdr:row>
      <xdr:rowOff>0</xdr:rowOff>
    </xdr:from>
    <xdr:ext cx="6858000" cy="3714750"/>
    <xdr:graphicFrame>
      <xdr:nvGraphicFramePr>
        <xdr:cNvPr id="9" name="Chart 9" title="Burndown — Iteração 7"/>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4</xdr:col>
      <xdr:colOff>0</xdr:colOff>
      <xdr:row>352</xdr:row>
      <xdr:rowOff>0</xdr:rowOff>
    </xdr:from>
    <xdr:ext cx="6858000" cy="3714750"/>
    <xdr:graphicFrame>
      <xdr:nvGraphicFramePr>
        <xdr:cNvPr id="10" name="Chart 10" title="Burndown — Iteração 8"/>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4</xdr:col>
      <xdr:colOff>0</xdr:colOff>
      <xdr:row>399</xdr:row>
      <xdr:rowOff>0</xdr:rowOff>
    </xdr:from>
    <xdr:ext cx="6858000" cy="3714750"/>
    <xdr:graphicFrame>
      <xdr:nvGraphicFramePr>
        <xdr:cNvPr id="11" name="Chart 11" title="Burndown — Iteração 9"/>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4</xdr:col>
      <xdr:colOff>0</xdr:colOff>
      <xdr:row>446</xdr:row>
      <xdr:rowOff>0</xdr:rowOff>
    </xdr:from>
    <xdr:ext cx="6858000" cy="3714750"/>
    <xdr:graphicFrame>
      <xdr:nvGraphicFramePr>
        <xdr:cNvPr id="12" name="Chart 12" title="Burndown — Iteração 10"/>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4</xdr:col>
      <xdr:colOff>0</xdr:colOff>
      <xdr:row>493</xdr:row>
      <xdr:rowOff>0</xdr:rowOff>
    </xdr:from>
    <xdr:ext cx="6858000" cy="3714750"/>
    <xdr:graphicFrame>
      <xdr:nvGraphicFramePr>
        <xdr:cNvPr id="13" name="Chart 13" title="Burndown — Iteração 11"/>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4</xdr:col>
      <xdr:colOff>0</xdr:colOff>
      <xdr:row>540</xdr:row>
      <xdr:rowOff>0</xdr:rowOff>
    </xdr:from>
    <xdr:ext cx="6858000" cy="3714750"/>
    <xdr:graphicFrame>
      <xdr:nvGraphicFramePr>
        <xdr:cNvPr id="14" name="Chart 14" title="Burndown — Iteração 12"/>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4</xdr:col>
      <xdr:colOff>0</xdr:colOff>
      <xdr:row>587</xdr:row>
      <xdr:rowOff>0</xdr:rowOff>
    </xdr:from>
    <xdr:ext cx="6858000" cy="3714750"/>
    <xdr:graphicFrame>
      <xdr:nvGraphicFramePr>
        <xdr:cNvPr id="15" name="Chart 15" title="Burndown — Iteração 13"/>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4</xdr:col>
      <xdr:colOff>0</xdr:colOff>
      <xdr:row>634</xdr:row>
      <xdr:rowOff>0</xdr:rowOff>
    </xdr:from>
    <xdr:ext cx="6858000" cy="3714750"/>
    <xdr:graphicFrame>
      <xdr:nvGraphicFramePr>
        <xdr:cNvPr id="16" name="Chart 16" title="Burndown — Iteração 14"/>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4</xdr:col>
      <xdr:colOff>0</xdr:colOff>
      <xdr:row>681</xdr:row>
      <xdr:rowOff>0</xdr:rowOff>
    </xdr:from>
    <xdr:ext cx="6858000" cy="3714750"/>
    <xdr:graphicFrame>
      <xdr:nvGraphicFramePr>
        <xdr:cNvPr id="17" name="Chart 17" title="Burndown — Iteração 15"/>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4</xdr:col>
      <xdr:colOff>0</xdr:colOff>
      <xdr:row>728</xdr:row>
      <xdr:rowOff>0</xdr:rowOff>
    </xdr:from>
    <xdr:ext cx="6858000" cy="3714750"/>
    <xdr:graphicFrame>
      <xdr:nvGraphicFramePr>
        <xdr:cNvPr id="18" name="Chart 18" title="Burndown — Iteração 16"/>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18</xdr:row>
      <xdr:rowOff>180975</xdr:rowOff>
    </xdr:from>
    <xdr:ext cx="5886450" cy="363855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25"/>
    <col customWidth="1" min="2" max="2" width="18.88"/>
    <col customWidth="1" min="3" max="3" width="26.63"/>
    <col customWidth="1" min="4" max="4" width="13.0"/>
    <col customWidth="1" min="5" max="5" width="15.63"/>
    <col customWidth="1" min="7" max="7" width="25.13"/>
    <col customWidth="1" min="8" max="8" width="29.38"/>
    <col customWidth="1" min="9" max="9" width="27.0"/>
    <col customWidth="1" min="10" max="10" width="16.13"/>
  </cols>
  <sheetData>
    <row r="1">
      <c r="A1" s="1" t="s">
        <v>0</v>
      </c>
      <c r="B1" s="2" t="s">
        <v>1</v>
      </c>
      <c r="C1" s="2" t="s">
        <v>2</v>
      </c>
      <c r="D1" s="3" t="s">
        <v>3</v>
      </c>
      <c r="E1" s="3" t="s">
        <v>4</v>
      </c>
      <c r="F1" s="1" t="s">
        <v>5</v>
      </c>
      <c r="G1" s="1" t="s">
        <v>6</v>
      </c>
      <c r="H1" s="1" t="s">
        <v>7</v>
      </c>
      <c r="I1" s="1" t="s">
        <v>8</v>
      </c>
    </row>
    <row r="2">
      <c r="A2" s="4" t="s">
        <v>9</v>
      </c>
      <c r="B2" s="5">
        <v>1.5</v>
      </c>
      <c r="C2" s="5">
        <v>2.5</v>
      </c>
      <c r="D2" s="6">
        <f t="shared" ref="D2:E2" si="1">B2*12.5</f>
        <v>18.75</v>
      </c>
      <c r="E2" s="6">
        <f t="shared" si="1"/>
        <v>31.25</v>
      </c>
      <c r="F2" s="5" t="b">
        <v>1</v>
      </c>
      <c r="G2" s="5">
        <v>5.0</v>
      </c>
      <c r="H2" s="5">
        <v>5.0</v>
      </c>
      <c r="I2" s="7">
        <v>46278.0</v>
      </c>
    </row>
    <row r="3">
      <c r="A3" s="4" t="s">
        <v>10</v>
      </c>
      <c r="B3" s="5">
        <v>1.0</v>
      </c>
      <c r="C3" s="5">
        <v>1.0</v>
      </c>
      <c r="D3" s="6">
        <f t="shared" ref="D3:E3" si="2">B3*12.5</f>
        <v>12.5</v>
      </c>
      <c r="E3" s="6">
        <f t="shared" si="2"/>
        <v>12.5</v>
      </c>
      <c r="F3" s="5" t="b">
        <v>1</v>
      </c>
      <c r="G3" s="5">
        <v>5.0</v>
      </c>
      <c r="H3" s="5">
        <v>5.0</v>
      </c>
      <c r="I3" s="7">
        <v>46278.0</v>
      </c>
    </row>
    <row r="4">
      <c r="A4" s="4" t="s">
        <v>11</v>
      </c>
      <c r="B4" s="5">
        <v>3.0</v>
      </c>
      <c r="C4" s="5">
        <v>5.0</v>
      </c>
      <c r="D4" s="6">
        <f t="shared" ref="D4:E4" si="3">B4*12.5</f>
        <v>37.5</v>
      </c>
      <c r="E4" s="6">
        <f t="shared" si="3"/>
        <v>62.5</v>
      </c>
      <c r="F4" s="5" t="b">
        <v>1</v>
      </c>
      <c r="G4" s="5">
        <v>7.0</v>
      </c>
      <c r="H4" s="5">
        <v>7.0</v>
      </c>
      <c r="I4" s="7">
        <v>46289.0</v>
      </c>
    </row>
    <row r="5">
      <c r="A5" s="4" t="s">
        <v>12</v>
      </c>
      <c r="B5" s="5">
        <v>2.0</v>
      </c>
      <c r="C5" s="5">
        <v>3.0</v>
      </c>
      <c r="D5" s="6">
        <f t="shared" ref="D5:E5" si="4">B5*12.5</f>
        <v>25</v>
      </c>
      <c r="E5" s="6">
        <f t="shared" si="4"/>
        <v>37.5</v>
      </c>
      <c r="F5" s="5" t="b">
        <v>1</v>
      </c>
      <c r="G5" s="5">
        <v>5.0</v>
      </c>
      <c r="H5" s="5">
        <v>5.0</v>
      </c>
      <c r="I5" s="7">
        <v>46278.0</v>
      </c>
    </row>
    <row r="6">
      <c r="A6" s="4" t="s">
        <v>13</v>
      </c>
      <c r="B6" s="5">
        <v>3.5</v>
      </c>
      <c r="C6" s="5">
        <v>5.0</v>
      </c>
      <c r="D6" s="6">
        <f t="shared" ref="D6:E6" si="5">B6*12.5</f>
        <v>43.75</v>
      </c>
      <c r="E6" s="6">
        <f t="shared" si="5"/>
        <v>62.5</v>
      </c>
      <c r="F6" s="5" t="b">
        <v>1</v>
      </c>
      <c r="G6" s="5">
        <v>7.0</v>
      </c>
      <c r="H6" s="5">
        <v>7.0</v>
      </c>
      <c r="I6" s="7">
        <v>46290.0</v>
      </c>
    </row>
    <row r="7">
      <c r="A7" s="4" t="s">
        <v>14</v>
      </c>
      <c r="B7" s="5">
        <v>2.0</v>
      </c>
      <c r="C7" s="5">
        <v>3.0</v>
      </c>
      <c r="D7" s="6">
        <f t="shared" ref="D7:E7" si="6">B7*12.5</f>
        <v>25</v>
      </c>
      <c r="E7" s="6">
        <f t="shared" si="6"/>
        <v>37.5</v>
      </c>
      <c r="F7" s="5" t="b">
        <v>1</v>
      </c>
      <c r="G7" s="5">
        <v>6.0</v>
      </c>
      <c r="H7" s="5">
        <v>7.0</v>
      </c>
      <c r="I7" s="7">
        <v>46282.0</v>
      </c>
    </row>
    <row r="8">
      <c r="A8" s="4" t="s">
        <v>15</v>
      </c>
      <c r="B8" s="5">
        <v>0.5</v>
      </c>
      <c r="C8" s="5">
        <v>2.0</v>
      </c>
      <c r="D8" s="6">
        <f t="shared" ref="D8:E8" si="7">B8*12.5</f>
        <v>6.25</v>
      </c>
      <c r="E8" s="6">
        <f t="shared" si="7"/>
        <v>25</v>
      </c>
      <c r="F8" s="5" t="b">
        <v>1</v>
      </c>
      <c r="G8" s="5">
        <v>8.0</v>
      </c>
      <c r="H8" s="5">
        <v>7.0</v>
      </c>
      <c r="I8" s="7">
        <v>46296.0</v>
      </c>
    </row>
    <row r="9">
      <c r="A9" s="4" t="s">
        <v>16</v>
      </c>
      <c r="B9" s="5">
        <v>1.5</v>
      </c>
      <c r="C9" s="5">
        <v>3.0</v>
      </c>
      <c r="D9" s="6">
        <f t="shared" ref="D9:E9" si="8">B9*12.5</f>
        <v>18.75</v>
      </c>
      <c r="E9" s="6">
        <f t="shared" si="8"/>
        <v>37.5</v>
      </c>
      <c r="F9" s="5" t="b">
        <v>1</v>
      </c>
      <c r="G9" s="5">
        <v>8.0</v>
      </c>
      <c r="H9" s="5">
        <v>8.0</v>
      </c>
      <c r="I9" s="7">
        <v>46298.0</v>
      </c>
    </row>
    <row r="10">
      <c r="A10" s="4" t="s">
        <v>17</v>
      </c>
      <c r="B10" s="5">
        <v>0.5</v>
      </c>
      <c r="C10" s="5">
        <v>1.0</v>
      </c>
      <c r="D10" s="6">
        <f t="shared" ref="D10:E10" si="9">B10*12.5</f>
        <v>6.25</v>
      </c>
      <c r="E10" s="6">
        <f t="shared" si="9"/>
        <v>12.5</v>
      </c>
      <c r="F10" s="5" t="b">
        <v>1</v>
      </c>
      <c r="G10" s="5">
        <v>8.0</v>
      </c>
      <c r="H10" s="5">
        <v>9.0</v>
      </c>
      <c r="I10" s="7">
        <v>46296.0</v>
      </c>
    </row>
    <row r="11">
      <c r="A11" s="4" t="s">
        <v>18</v>
      </c>
      <c r="B11" s="5">
        <v>0.5</v>
      </c>
      <c r="C11" s="5">
        <v>2.0</v>
      </c>
      <c r="D11" s="6">
        <f t="shared" ref="D11:E11" si="10">B11*12.5</f>
        <v>6.25</v>
      </c>
      <c r="E11" s="6">
        <f t="shared" si="10"/>
        <v>25</v>
      </c>
      <c r="F11" s="5" t="b">
        <v>1</v>
      </c>
      <c r="G11" s="5">
        <v>8.0</v>
      </c>
      <c r="H11" s="5">
        <v>9.0</v>
      </c>
      <c r="I11" s="7">
        <v>46296.0</v>
      </c>
    </row>
    <row r="12">
      <c r="A12" s="4" t="s">
        <v>19</v>
      </c>
      <c r="B12" s="5">
        <v>0.5</v>
      </c>
      <c r="C12" s="5">
        <v>1.5</v>
      </c>
      <c r="D12" s="6">
        <f t="shared" ref="D12:E12" si="11">B12*12.5</f>
        <v>6.25</v>
      </c>
      <c r="E12" s="6">
        <f t="shared" si="11"/>
        <v>18.75</v>
      </c>
      <c r="F12" s="5" t="b">
        <v>1</v>
      </c>
      <c r="G12" s="5">
        <v>8.0</v>
      </c>
      <c r="H12" s="5">
        <v>9.0</v>
      </c>
      <c r="I12" s="7">
        <v>46296.0</v>
      </c>
    </row>
    <row r="13">
      <c r="A13" s="4" t="s">
        <v>20</v>
      </c>
      <c r="B13" s="5"/>
      <c r="C13" s="5">
        <v>2.0</v>
      </c>
      <c r="D13" s="6">
        <f t="shared" ref="D13:E13" si="12">B13*12.5</f>
        <v>0</v>
      </c>
      <c r="E13" s="6">
        <f t="shared" si="12"/>
        <v>25</v>
      </c>
      <c r="F13" s="8" t="b">
        <v>0</v>
      </c>
      <c r="H13" s="5">
        <v>8.0</v>
      </c>
      <c r="I13" s="9"/>
    </row>
    <row r="14">
      <c r="A14" s="10" t="s">
        <v>21</v>
      </c>
      <c r="B14" s="11"/>
      <c r="C14" s="11">
        <v>1.0</v>
      </c>
      <c r="D14" s="6">
        <f t="shared" ref="D14:E14" si="13">B14*12.5</f>
        <v>0</v>
      </c>
      <c r="E14" s="6">
        <f t="shared" si="13"/>
        <v>12.5</v>
      </c>
      <c r="F14" s="8" t="b">
        <v>0</v>
      </c>
      <c r="H14" s="5">
        <v>8.0</v>
      </c>
      <c r="I14" s="9"/>
    </row>
    <row r="15">
      <c r="A15" s="4" t="s">
        <v>22</v>
      </c>
      <c r="B15" s="5">
        <v>1.0</v>
      </c>
      <c r="C15" s="5">
        <v>1.0</v>
      </c>
      <c r="D15" s="6">
        <f t="shared" ref="D15:E15" si="14">B15*12.5</f>
        <v>12.5</v>
      </c>
      <c r="E15" s="6">
        <f t="shared" si="14"/>
        <v>12.5</v>
      </c>
      <c r="F15" s="5" t="b">
        <v>1</v>
      </c>
      <c r="G15" s="5">
        <v>5.0</v>
      </c>
      <c r="H15" s="5">
        <v>5.0</v>
      </c>
      <c r="I15" s="7">
        <v>46278.0</v>
      </c>
    </row>
    <row r="16">
      <c r="A16" s="4" t="s">
        <v>23</v>
      </c>
      <c r="B16" s="5">
        <v>0.5</v>
      </c>
      <c r="C16" s="5">
        <v>1.0</v>
      </c>
      <c r="D16" s="6">
        <f t="shared" ref="D16:E16" si="15">B16*12.5</f>
        <v>6.25</v>
      </c>
      <c r="E16" s="6">
        <f t="shared" si="15"/>
        <v>12.5</v>
      </c>
      <c r="F16" s="5" t="b">
        <v>1</v>
      </c>
      <c r="G16" s="5">
        <v>8.0</v>
      </c>
      <c r="H16" s="5">
        <v>9.0</v>
      </c>
      <c r="I16" s="7">
        <v>46298.0</v>
      </c>
    </row>
    <row r="17">
      <c r="A17" s="4" t="s">
        <v>24</v>
      </c>
      <c r="B17" s="5">
        <v>1.0</v>
      </c>
      <c r="C17" s="5">
        <v>1.0</v>
      </c>
      <c r="D17" s="6">
        <f t="shared" ref="D17:E17" si="16">B17*12.5</f>
        <v>12.5</v>
      </c>
      <c r="E17" s="6">
        <f t="shared" si="16"/>
        <v>12.5</v>
      </c>
      <c r="F17" s="5" t="b">
        <v>1</v>
      </c>
      <c r="G17" s="5">
        <v>5.0</v>
      </c>
      <c r="H17" s="5">
        <v>5.0</v>
      </c>
      <c r="I17" s="7">
        <v>46278.0</v>
      </c>
    </row>
    <row r="18">
      <c r="A18" s="4" t="s">
        <v>25</v>
      </c>
      <c r="B18" s="5">
        <v>1.0</v>
      </c>
      <c r="C18" s="5">
        <v>1.0</v>
      </c>
      <c r="D18" s="6">
        <f t="shared" ref="D18:E18" si="17">B18*12.5</f>
        <v>12.5</v>
      </c>
      <c r="E18" s="6">
        <f t="shared" si="17"/>
        <v>12.5</v>
      </c>
      <c r="F18" s="5" t="b">
        <v>1</v>
      </c>
      <c r="G18" s="5">
        <v>5.0</v>
      </c>
      <c r="H18" s="5">
        <v>5.0</v>
      </c>
      <c r="I18" s="7">
        <v>46278.0</v>
      </c>
    </row>
    <row r="19">
      <c r="A19" s="4" t="s">
        <v>26</v>
      </c>
      <c r="B19" s="5">
        <v>1.0</v>
      </c>
      <c r="C19" s="5">
        <v>1.0</v>
      </c>
      <c r="D19" s="6">
        <f t="shared" ref="D19:E19" si="18">B19*12.5</f>
        <v>12.5</v>
      </c>
      <c r="E19" s="6">
        <f t="shared" si="18"/>
        <v>12.5</v>
      </c>
      <c r="F19" s="5" t="b">
        <v>1</v>
      </c>
      <c r="G19" s="5">
        <v>5.0</v>
      </c>
      <c r="H19" s="5">
        <v>5.0</v>
      </c>
      <c r="I19" s="7">
        <v>46278.0</v>
      </c>
    </row>
    <row r="20">
      <c r="A20" s="4" t="s">
        <v>27</v>
      </c>
      <c r="B20" s="5">
        <v>1.0</v>
      </c>
      <c r="C20" s="5">
        <v>1.5</v>
      </c>
      <c r="D20" s="6">
        <f t="shared" ref="D20:E20" si="19">B20*12.5</f>
        <v>12.5</v>
      </c>
      <c r="E20" s="6">
        <f t="shared" si="19"/>
        <v>18.75</v>
      </c>
      <c r="F20" s="5" t="b">
        <v>1</v>
      </c>
      <c r="G20" s="5">
        <v>8.0</v>
      </c>
      <c r="H20" s="5">
        <v>9.0</v>
      </c>
      <c r="I20" s="7">
        <v>46296.0</v>
      </c>
    </row>
    <row r="21">
      <c r="A21" s="4" t="s">
        <v>28</v>
      </c>
      <c r="B21" s="5">
        <v>1.0</v>
      </c>
      <c r="C21" s="5">
        <v>1.5</v>
      </c>
      <c r="D21" s="6">
        <f t="shared" ref="D21:E21" si="20">B21*12.5</f>
        <v>12.5</v>
      </c>
      <c r="E21" s="6">
        <f t="shared" si="20"/>
        <v>18.75</v>
      </c>
      <c r="F21" s="5" t="b">
        <v>1</v>
      </c>
      <c r="G21" s="5">
        <v>8.0</v>
      </c>
      <c r="H21" s="5">
        <v>9.0</v>
      </c>
      <c r="I21" s="7">
        <v>46296.0</v>
      </c>
    </row>
    <row r="22">
      <c r="A22" s="4" t="s">
        <v>29</v>
      </c>
      <c r="B22" s="5">
        <v>0.5</v>
      </c>
      <c r="C22" s="5">
        <v>1.0</v>
      </c>
      <c r="D22" s="6">
        <f t="shared" ref="D22:E22" si="21">B22*12.5</f>
        <v>6.25</v>
      </c>
      <c r="E22" s="6">
        <f t="shared" si="21"/>
        <v>12.5</v>
      </c>
      <c r="F22" s="5" t="b">
        <v>1</v>
      </c>
      <c r="G22" s="5">
        <v>8.0</v>
      </c>
      <c r="H22" s="5">
        <v>7.0</v>
      </c>
      <c r="I22" s="7">
        <v>46296.0</v>
      </c>
    </row>
    <row r="23">
      <c r="A23" s="4" t="s">
        <v>30</v>
      </c>
      <c r="B23" s="5">
        <v>0.5</v>
      </c>
      <c r="C23" s="5">
        <v>1.0</v>
      </c>
      <c r="D23" s="6">
        <f t="shared" ref="D23:E23" si="22">B23*12.5</f>
        <v>6.25</v>
      </c>
      <c r="E23" s="6">
        <f t="shared" si="22"/>
        <v>12.5</v>
      </c>
      <c r="F23" s="5" t="b">
        <v>1</v>
      </c>
      <c r="G23" s="5">
        <v>8.0</v>
      </c>
      <c r="H23" s="5">
        <v>7.0</v>
      </c>
      <c r="I23" s="7">
        <v>46296.0</v>
      </c>
    </row>
    <row r="24">
      <c r="A24" s="4" t="s">
        <v>31</v>
      </c>
      <c r="B24" s="5">
        <v>1.0</v>
      </c>
      <c r="C24" s="5">
        <v>3.0</v>
      </c>
      <c r="D24" s="6">
        <f t="shared" ref="D24:E24" si="23">B24*12.5</f>
        <v>12.5</v>
      </c>
      <c r="E24" s="6">
        <f t="shared" si="23"/>
        <v>37.5</v>
      </c>
      <c r="F24" s="5" t="b">
        <v>1</v>
      </c>
      <c r="G24" s="5">
        <v>8.0</v>
      </c>
      <c r="H24" s="5">
        <v>7.0</v>
      </c>
      <c r="I24" s="7">
        <v>46296.0</v>
      </c>
    </row>
    <row r="25">
      <c r="A25" s="4" t="s">
        <v>32</v>
      </c>
      <c r="B25" s="5">
        <v>0.5</v>
      </c>
      <c r="C25" s="5">
        <v>1.0</v>
      </c>
      <c r="D25" s="6">
        <f t="shared" ref="D25:E25" si="24">B25*12.5</f>
        <v>6.25</v>
      </c>
      <c r="E25" s="6">
        <f t="shared" si="24"/>
        <v>12.5</v>
      </c>
      <c r="F25" s="5" t="b">
        <v>1</v>
      </c>
      <c r="G25" s="5">
        <v>8.0</v>
      </c>
      <c r="H25" s="5">
        <v>7.0</v>
      </c>
      <c r="I25" s="7">
        <v>46296.0</v>
      </c>
    </row>
    <row r="26">
      <c r="A26" s="4" t="s">
        <v>33</v>
      </c>
      <c r="B26" s="5">
        <v>0.5</v>
      </c>
      <c r="C26" s="5">
        <v>1.0</v>
      </c>
      <c r="D26" s="6">
        <f t="shared" ref="D26:E26" si="25">B26*12.5</f>
        <v>6.25</v>
      </c>
      <c r="E26" s="6">
        <f t="shared" si="25"/>
        <v>12.5</v>
      </c>
      <c r="F26" s="5" t="b">
        <v>1</v>
      </c>
      <c r="G26" s="5">
        <v>8.0</v>
      </c>
      <c r="H26" s="5">
        <v>7.0</v>
      </c>
      <c r="I26" s="7">
        <v>46296.0</v>
      </c>
    </row>
    <row r="27">
      <c r="A27" s="4" t="s">
        <v>34</v>
      </c>
      <c r="B27" s="5">
        <v>1.0</v>
      </c>
      <c r="C27" s="5">
        <v>2.0</v>
      </c>
      <c r="D27" s="6">
        <f t="shared" ref="D27:E27" si="26">B27*12.5</f>
        <v>12.5</v>
      </c>
      <c r="E27" s="6">
        <f t="shared" si="26"/>
        <v>25</v>
      </c>
      <c r="F27" s="5" t="b">
        <v>1</v>
      </c>
      <c r="G27" s="5">
        <v>8.0</v>
      </c>
      <c r="H27" s="5">
        <v>8.0</v>
      </c>
      <c r="I27" s="7">
        <v>46296.0</v>
      </c>
    </row>
    <row r="28">
      <c r="A28" s="4" t="s">
        <v>35</v>
      </c>
      <c r="B28" s="5">
        <v>1.0</v>
      </c>
      <c r="C28" s="5">
        <v>1.0</v>
      </c>
      <c r="D28" s="6">
        <f t="shared" ref="D28:E28" si="27">B28*12.5</f>
        <v>12.5</v>
      </c>
      <c r="E28" s="6">
        <f t="shared" si="27"/>
        <v>12.5</v>
      </c>
      <c r="F28" s="5" t="b">
        <v>1</v>
      </c>
      <c r="G28" s="5">
        <v>8.0</v>
      </c>
      <c r="H28" s="5">
        <v>7.0</v>
      </c>
      <c r="I28" s="7">
        <v>46296.0</v>
      </c>
    </row>
    <row r="29">
      <c r="A29" s="4" t="s">
        <v>36</v>
      </c>
      <c r="B29" s="5">
        <v>1.0</v>
      </c>
      <c r="C29" s="5">
        <v>1.0</v>
      </c>
      <c r="D29" s="6">
        <f t="shared" ref="D29:E29" si="28">B29*12.5</f>
        <v>12.5</v>
      </c>
      <c r="E29" s="6">
        <f t="shared" si="28"/>
        <v>12.5</v>
      </c>
      <c r="F29" s="5" t="b">
        <v>1</v>
      </c>
      <c r="G29" s="5">
        <v>8.0</v>
      </c>
      <c r="H29" s="5">
        <v>7.0</v>
      </c>
      <c r="I29" s="7">
        <v>46296.0</v>
      </c>
    </row>
    <row r="30">
      <c r="A30" s="4" t="s">
        <v>37</v>
      </c>
      <c r="B30" s="5">
        <v>2.0</v>
      </c>
      <c r="C30" s="5">
        <v>1.0</v>
      </c>
      <c r="D30" s="6">
        <f t="shared" ref="D30:E30" si="29">B30*12.5</f>
        <v>25</v>
      </c>
      <c r="E30" s="6">
        <f t="shared" si="29"/>
        <v>12.5</v>
      </c>
      <c r="F30" s="5" t="b">
        <v>1</v>
      </c>
      <c r="G30" s="5">
        <v>8.0</v>
      </c>
      <c r="H30" s="5">
        <v>7.0</v>
      </c>
      <c r="I30" s="7">
        <v>46296.0</v>
      </c>
    </row>
    <row r="31">
      <c r="A31" s="4" t="s">
        <v>38</v>
      </c>
      <c r="B31" s="5">
        <v>1.0</v>
      </c>
      <c r="C31" s="5">
        <v>1.0</v>
      </c>
      <c r="D31" s="6">
        <f t="shared" ref="D31:E31" si="30">B31*12.5</f>
        <v>12.5</v>
      </c>
      <c r="E31" s="6">
        <f t="shared" si="30"/>
        <v>12.5</v>
      </c>
      <c r="F31" s="5" t="b">
        <v>1</v>
      </c>
      <c r="G31" s="5">
        <v>8.0</v>
      </c>
      <c r="H31" s="5">
        <v>7.0</v>
      </c>
      <c r="I31" s="7">
        <v>46296.0</v>
      </c>
    </row>
    <row r="32">
      <c r="A32" s="4" t="s">
        <v>39</v>
      </c>
      <c r="B32" s="5">
        <v>2.0</v>
      </c>
      <c r="C32" s="5">
        <v>2.0</v>
      </c>
      <c r="D32" s="6">
        <f t="shared" ref="D32:E32" si="31">B32*12.5</f>
        <v>25</v>
      </c>
      <c r="E32" s="6">
        <f t="shared" si="31"/>
        <v>25</v>
      </c>
      <c r="F32" s="5" t="b">
        <v>1</v>
      </c>
      <c r="G32" s="5">
        <v>8.0</v>
      </c>
      <c r="H32" s="5">
        <v>7.0</v>
      </c>
      <c r="I32" s="7">
        <v>46296.0</v>
      </c>
    </row>
    <row r="33">
      <c r="A33" s="4" t="s">
        <v>40</v>
      </c>
      <c r="B33" s="5">
        <v>1.0</v>
      </c>
      <c r="C33" s="5">
        <v>1.0</v>
      </c>
      <c r="D33" s="6">
        <f t="shared" ref="D33:E33" si="32">B33*12.5</f>
        <v>12.5</v>
      </c>
      <c r="E33" s="6">
        <f t="shared" si="32"/>
        <v>12.5</v>
      </c>
      <c r="F33" s="5" t="b">
        <v>1</v>
      </c>
      <c r="G33" s="5">
        <v>8.0</v>
      </c>
      <c r="H33" s="5">
        <v>7.0</v>
      </c>
      <c r="I33" s="7">
        <v>46296.0</v>
      </c>
    </row>
    <row r="34">
      <c r="A34" s="4" t="s">
        <v>41</v>
      </c>
      <c r="B34" s="5"/>
      <c r="C34" s="5">
        <v>2.0</v>
      </c>
      <c r="D34" s="6">
        <f t="shared" ref="D34:E34" si="33">B34*12.5</f>
        <v>0</v>
      </c>
      <c r="E34" s="6">
        <f t="shared" si="33"/>
        <v>25</v>
      </c>
      <c r="F34" s="8" t="b">
        <v>0</v>
      </c>
      <c r="H34" s="5">
        <v>8.0</v>
      </c>
      <c r="I34" s="9"/>
    </row>
    <row r="35">
      <c r="A35" s="4" t="s">
        <v>42</v>
      </c>
      <c r="B35" s="5"/>
      <c r="C35" s="5">
        <v>2.0</v>
      </c>
      <c r="D35" s="6">
        <f t="shared" ref="D35:E35" si="34">B35*12.5</f>
        <v>0</v>
      </c>
      <c r="E35" s="6">
        <f t="shared" si="34"/>
        <v>25</v>
      </c>
      <c r="F35" s="8" t="b">
        <v>0</v>
      </c>
      <c r="H35" s="5">
        <v>8.0</v>
      </c>
      <c r="I35" s="9"/>
    </row>
    <row r="36">
      <c r="A36" s="4" t="s">
        <v>43</v>
      </c>
      <c r="B36" s="5"/>
      <c r="C36" s="5">
        <v>2.0</v>
      </c>
      <c r="D36" s="6">
        <f t="shared" ref="D36:E36" si="35">B36*12.5</f>
        <v>0</v>
      </c>
      <c r="E36" s="6">
        <f t="shared" si="35"/>
        <v>25</v>
      </c>
      <c r="F36" s="8" t="b">
        <v>0</v>
      </c>
      <c r="H36" s="5">
        <v>8.0</v>
      </c>
      <c r="I36" s="9"/>
    </row>
    <row r="37">
      <c r="A37" s="4" t="s">
        <v>44</v>
      </c>
      <c r="B37" s="5">
        <v>2.0</v>
      </c>
      <c r="C37" s="5">
        <v>2.0</v>
      </c>
      <c r="D37" s="6">
        <f t="shared" ref="D37:E37" si="36">B37*12.5</f>
        <v>25</v>
      </c>
      <c r="E37" s="6">
        <f t="shared" si="36"/>
        <v>25</v>
      </c>
      <c r="F37" s="5" t="b">
        <v>1</v>
      </c>
      <c r="G37" s="5">
        <v>8.0</v>
      </c>
      <c r="H37" s="5">
        <v>7.0</v>
      </c>
      <c r="I37" s="7">
        <v>46298.0</v>
      </c>
    </row>
    <row r="38">
      <c r="A38" s="4" t="s">
        <v>45</v>
      </c>
      <c r="B38" s="5">
        <v>4.0</v>
      </c>
      <c r="C38" s="5">
        <v>5.0</v>
      </c>
      <c r="D38" s="6">
        <f t="shared" ref="D38:E38" si="37">B38*12.5</f>
        <v>50</v>
      </c>
      <c r="E38" s="6">
        <f t="shared" si="37"/>
        <v>62.5</v>
      </c>
      <c r="F38" s="5" t="b">
        <v>1</v>
      </c>
      <c r="G38" s="5">
        <v>8.0</v>
      </c>
      <c r="H38" s="5">
        <v>8.0</v>
      </c>
      <c r="I38" s="7">
        <v>46298.0</v>
      </c>
    </row>
    <row r="39">
      <c r="A39" s="4" t="s">
        <v>46</v>
      </c>
      <c r="B39" s="5"/>
      <c r="C39" s="5">
        <v>2.0</v>
      </c>
      <c r="D39" s="6">
        <f t="shared" ref="D39:E39" si="38">B39*12.5</f>
        <v>0</v>
      </c>
      <c r="E39" s="6">
        <f t="shared" si="38"/>
        <v>25</v>
      </c>
      <c r="F39" s="8" t="b">
        <v>0</v>
      </c>
      <c r="H39" s="5">
        <v>9.0</v>
      </c>
      <c r="I39" s="9"/>
    </row>
    <row r="40">
      <c r="A40" s="4" t="s">
        <v>47</v>
      </c>
      <c r="B40" s="5">
        <v>2.0</v>
      </c>
      <c r="C40" s="5">
        <v>3.0</v>
      </c>
      <c r="D40" s="6">
        <f t="shared" ref="D40:E40" si="39">B40*12.5</f>
        <v>25</v>
      </c>
      <c r="E40" s="6">
        <f t="shared" si="39"/>
        <v>37.5</v>
      </c>
      <c r="F40" s="5" t="b">
        <v>1</v>
      </c>
      <c r="G40" s="5">
        <v>8.0</v>
      </c>
      <c r="H40" s="5">
        <v>9.0</v>
      </c>
      <c r="I40" s="7">
        <v>46296.0</v>
      </c>
    </row>
    <row r="41">
      <c r="A41" s="4" t="s">
        <v>48</v>
      </c>
      <c r="B41" s="5">
        <v>2.0</v>
      </c>
      <c r="C41" s="5">
        <v>2.0</v>
      </c>
      <c r="D41" s="6">
        <f t="shared" ref="D41:E41" si="40">B41*12.5</f>
        <v>25</v>
      </c>
      <c r="E41" s="6">
        <f t="shared" si="40"/>
        <v>25</v>
      </c>
      <c r="F41" s="5" t="b">
        <v>1</v>
      </c>
      <c r="G41" s="5">
        <v>8.0</v>
      </c>
      <c r="H41" s="5">
        <v>9.0</v>
      </c>
      <c r="I41" s="7">
        <v>46298.0</v>
      </c>
    </row>
    <row r="42">
      <c r="A42" s="4" t="s">
        <v>49</v>
      </c>
      <c r="B42" s="5"/>
      <c r="C42" s="5">
        <v>2.0</v>
      </c>
      <c r="D42" s="6">
        <f t="shared" ref="D42:E42" si="41">B42*12.5</f>
        <v>0</v>
      </c>
      <c r="E42" s="6">
        <f t="shared" si="41"/>
        <v>25</v>
      </c>
      <c r="F42" s="8" t="b">
        <v>0</v>
      </c>
      <c r="H42" s="5">
        <v>9.0</v>
      </c>
      <c r="I42" s="9"/>
    </row>
    <row r="43">
      <c r="A43" s="4" t="s">
        <v>50</v>
      </c>
      <c r="B43" s="5"/>
      <c r="C43" s="5">
        <v>2.5</v>
      </c>
      <c r="D43" s="6">
        <f t="shared" ref="D43:E43" si="42">B43*12.5</f>
        <v>0</v>
      </c>
      <c r="E43" s="6">
        <f t="shared" si="42"/>
        <v>31.25</v>
      </c>
      <c r="F43" s="8" t="b">
        <v>0</v>
      </c>
      <c r="H43" s="5">
        <v>10.0</v>
      </c>
      <c r="I43" s="9"/>
    </row>
    <row r="44">
      <c r="A44" s="4" t="s">
        <v>51</v>
      </c>
      <c r="B44" s="5"/>
      <c r="C44" s="5">
        <v>3.0</v>
      </c>
      <c r="D44" s="6">
        <f t="shared" ref="D44:E44" si="43">B44*12.5</f>
        <v>0</v>
      </c>
      <c r="E44" s="6">
        <f t="shared" si="43"/>
        <v>37.5</v>
      </c>
      <c r="F44" s="8" t="b">
        <v>0</v>
      </c>
      <c r="H44" s="5">
        <v>10.0</v>
      </c>
      <c r="I44" s="9"/>
    </row>
    <row r="45">
      <c r="A45" s="4" t="s">
        <v>52</v>
      </c>
      <c r="B45" s="5"/>
      <c r="C45" s="5">
        <v>3.0</v>
      </c>
      <c r="D45" s="6">
        <f t="shared" ref="D45:E45" si="44">B45*12.5</f>
        <v>0</v>
      </c>
      <c r="E45" s="6">
        <f t="shared" si="44"/>
        <v>37.5</v>
      </c>
      <c r="F45" s="8" t="b">
        <v>0</v>
      </c>
      <c r="H45" s="5">
        <v>10.0</v>
      </c>
      <c r="I45" s="9"/>
    </row>
    <row r="46">
      <c r="A46" s="4" t="s">
        <v>53</v>
      </c>
      <c r="B46" s="5"/>
      <c r="C46" s="5">
        <v>2.0</v>
      </c>
      <c r="D46" s="6">
        <f t="shared" ref="D46:E46" si="45">B46*12.5</f>
        <v>0</v>
      </c>
      <c r="E46" s="6">
        <f t="shared" si="45"/>
        <v>25</v>
      </c>
      <c r="F46" s="8" t="b">
        <v>0</v>
      </c>
      <c r="H46" s="5">
        <v>10.0</v>
      </c>
      <c r="I46" s="9"/>
    </row>
    <row r="47">
      <c r="A47" s="4" t="s">
        <v>54</v>
      </c>
      <c r="B47" s="5"/>
      <c r="C47" s="5">
        <v>2.0</v>
      </c>
      <c r="D47" s="6">
        <f t="shared" ref="D47:E47" si="46">B47*12.5</f>
        <v>0</v>
      </c>
      <c r="E47" s="6">
        <f t="shared" si="46"/>
        <v>25</v>
      </c>
      <c r="F47" s="8" t="b">
        <v>0</v>
      </c>
      <c r="H47" s="5">
        <v>10.0</v>
      </c>
      <c r="I47" s="9"/>
    </row>
    <row r="48">
      <c r="A48" s="4" t="s">
        <v>55</v>
      </c>
      <c r="B48" s="5"/>
      <c r="C48" s="5">
        <v>2.0</v>
      </c>
      <c r="D48" s="6">
        <f t="shared" ref="D48:E48" si="47">B48*12.5</f>
        <v>0</v>
      </c>
      <c r="E48" s="6">
        <f t="shared" si="47"/>
        <v>25</v>
      </c>
      <c r="F48" s="8" t="b">
        <v>0</v>
      </c>
      <c r="H48" s="5">
        <v>10.0</v>
      </c>
      <c r="I48" s="9"/>
    </row>
    <row r="49">
      <c r="A49" s="4" t="s">
        <v>56</v>
      </c>
      <c r="B49" s="5"/>
      <c r="C49" s="5">
        <v>2.0</v>
      </c>
      <c r="D49" s="6">
        <f t="shared" ref="D49:E49" si="48">B49*12.5</f>
        <v>0</v>
      </c>
      <c r="E49" s="6">
        <f t="shared" si="48"/>
        <v>25</v>
      </c>
      <c r="F49" s="8" t="b">
        <v>0</v>
      </c>
      <c r="H49" s="5">
        <v>10.0</v>
      </c>
      <c r="I49" s="9"/>
    </row>
    <row r="50">
      <c r="A50" s="4" t="s">
        <v>57</v>
      </c>
      <c r="B50" s="5"/>
      <c r="C50" s="5">
        <v>2.5</v>
      </c>
      <c r="D50" s="6">
        <f t="shared" ref="D50:E50" si="49">B50*12.5</f>
        <v>0</v>
      </c>
      <c r="E50" s="6">
        <f t="shared" si="49"/>
        <v>31.25</v>
      </c>
      <c r="F50" s="8" t="b">
        <v>0</v>
      </c>
      <c r="H50" s="5">
        <v>10.0</v>
      </c>
      <c r="I50" s="9"/>
    </row>
    <row r="51">
      <c r="A51" s="12" t="s">
        <v>58</v>
      </c>
      <c r="B51" s="5"/>
      <c r="C51" s="5">
        <v>5.0</v>
      </c>
      <c r="D51" s="6">
        <f t="shared" ref="D51:E51" si="50">B51*12.5</f>
        <v>0</v>
      </c>
      <c r="E51" s="6">
        <f t="shared" si="50"/>
        <v>62.5</v>
      </c>
      <c r="F51" s="8" t="b">
        <v>0</v>
      </c>
      <c r="H51" s="5">
        <v>8.0</v>
      </c>
      <c r="I51" s="9"/>
    </row>
    <row r="52">
      <c r="A52" s="12" t="s">
        <v>59</v>
      </c>
      <c r="B52" s="5"/>
      <c r="C52" s="5">
        <v>5.0</v>
      </c>
      <c r="D52" s="6">
        <f t="shared" ref="D52:E52" si="51">B52*12.5</f>
        <v>0</v>
      </c>
      <c r="E52" s="6">
        <f t="shared" si="51"/>
        <v>62.5</v>
      </c>
      <c r="F52" s="8" t="b">
        <v>0</v>
      </c>
      <c r="H52" s="5">
        <v>10.0</v>
      </c>
      <c r="I52" s="9"/>
    </row>
    <row r="53">
      <c r="A53" s="13" t="s">
        <v>62</v>
      </c>
      <c r="B53" s="5">
        <v>2.0</v>
      </c>
      <c r="C53" s="5">
        <v>5.0</v>
      </c>
      <c r="D53" s="6">
        <f t="shared" ref="D53:E53" si="52">B53*12.5</f>
        <v>25</v>
      </c>
      <c r="E53" s="6">
        <f t="shared" si="52"/>
        <v>62.5</v>
      </c>
      <c r="F53" s="5" t="b">
        <v>1</v>
      </c>
      <c r="G53" s="5">
        <v>8.0</v>
      </c>
      <c r="H53" s="5">
        <v>8.0</v>
      </c>
      <c r="I53" s="7">
        <v>46298.0</v>
      </c>
    </row>
    <row r="54">
      <c r="A54" s="4" t="s">
        <v>66</v>
      </c>
      <c r="B54" s="5">
        <v>5.0</v>
      </c>
      <c r="C54" s="5">
        <v>5.0</v>
      </c>
      <c r="D54" s="6">
        <f t="shared" ref="D54:E54" si="53">B54*12.5</f>
        <v>62.5</v>
      </c>
      <c r="E54" s="6">
        <f t="shared" si="53"/>
        <v>62.5</v>
      </c>
      <c r="F54" s="5" t="b">
        <v>1</v>
      </c>
      <c r="G54" s="5">
        <v>8.0</v>
      </c>
      <c r="H54" s="5">
        <v>8.0</v>
      </c>
      <c r="I54" s="7">
        <v>46298.0</v>
      </c>
    </row>
    <row r="55">
      <c r="A55" s="4" t="s">
        <v>70</v>
      </c>
      <c r="B55" s="5">
        <v>2.0</v>
      </c>
      <c r="C55" s="5">
        <v>5.0</v>
      </c>
      <c r="D55" s="6">
        <f t="shared" ref="D55:E55" si="54">B55*12.5</f>
        <v>25</v>
      </c>
      <c r="E55" s="6">
        <f t="shared" si="54"/>
        <v>62.5</v>
      </c>
      <c r="F55" s="5" t="b">
        <v>1</v>
      </c>
      <c r="G55" s="5">
        <v>8.0</v>
      </c>
      <c r="H55" s="5">
        <v>9.0</v>
      </c>
      <c r="I55" s="7">
        <v>46298.0</v>
      </c>
    </row>
    <row r="56">
      <c r="A56" s="4" t="s">
        <v>71</v>
      </c>
      <c r="C56" s="5">
        <v>3.0</v>
      </c>
      <c r="D56" s="6">
        <f t="shared" ref="D56:E56" si="55">B56*12.5</f>
        <v>0</v>
      </c>
      <c r="E56" s="6">
        <f t="shared" si="55"/>
        <v>37.5</v>
      </c>
      <c r="F56" s="5" t="b">
        <v>0</v>
      </c>
      <c r="H56" s="5">
        <v>9.0</v>
      </c>
      <c r="I56" s="9"/>
    </row>
    <row r="57">
      <c r="A57" s="4" t="s">
        <v>72</v>
      </c>
      <c r="B57" s="5">
        <v>1.0</v>
      </c>
      <c r="C57" s="5">
        <v>5.0</v>
      </c>
      <c r="D57" s="6">
        <f t="shared" ref="D57:E57" si="56">B57*12.5</f>
        <v>12.5</v>
      </c>
      <c r="E57" s="6">
        <f t="shared" si="56"/>
        <v>62.5</v>
      </c>
      <c r="F57" s="5" t="b">
        <v>1</v>
      </c>
      <c r="G57" s="5">
        <v>8.0</v>
      </c>
      <c r="H57" s="5">
        <v>9.0</v>
      </c>
      <c r="I57" s="7">
        <v>46298.0</v>
      </c>
    </row>
    <row r="58">
      <c r="A58" s="4" t="s">
        <v>73</v>
      </c>
      <c r="B58" s="5">
        <v>4.0</v>
      </c>
      <c r="C58" s="5">
        <v>8.0</v>
      </c>
      <c r="D58" s="6">
        <f t="shared" ref="D58:E58" si="57">B58*12.5</f>
        <v>50</v>
      </c>
      <c r="E58" s="6">
        <f t="shared" si="57"/>
        <v>100</v>
      </c>
      <c r="F58" s="5" t="b">
        <v>1</v>
      </c>
      <c r="G58" s="5">
        <v>8.0</v>
      </c>
      <c r="H58" s="5">
        <v>8.0</v>
      </c>
      <c r="I58" s="7">
        <v>46298.0</v>
      </c>
    </row>
    <row r="59">
      <c r="A59" s="4" t="s">
        <v>74</v>
      </c>
      <c r="B59" s="5"/>
      <c r="C59" s="5">
        <v>8.0</v>
      </c>
      <c r="D59" s="6">
        <f t="shared" ref="D59:E59" si="58">B59*12.5</f>
        <v>0</v>
      </c>
      <c r="E59" s="6">
        <f t="shared" si="58"/>
        <v>100</v>
      </c>
      <c r="F59" s="8" t="b">
        <v>0</v>
      </c>
      <c r="H59" s="5">
        <v>10.0</v>
      </c>
      <c r="I59" s="9"/>
    </row>
    <row r="60">
      <c r="A60" s="4" t="s">
        <v>75</v>
      </c>
      <c r="B60" s="5"/>
      <c r="C60" s="5">
        <v>8.0</v>
      </c>
      <c r="D60" s="6">
        <f t="shared" ref="D60:E60" si="59">B60*12.5</f>
        <v>0</v>
      </c>
      <c r="E60" s="6">
        <f t="shared" si="59"/>
        <v>100</v>
      </c>
      <c r="F60" s="8" t="b">
        <v>0</v>
      </c>
      <c r="H60" s="5">
        <v>8.0</v>
      </c>
      <c r="I60" s="9"/>
    </row>
    <row r="61">
      <c r="A61" s="4" t="s">
        <v>76</v>
      </c>
      <c r="B61" s="5"/>
      <c r="C61" s="5">
        <v>8.0</v>
      </c>
      <c r="D61" s="6">
        <f t="shared" ref="D61:E61" si="60">B61*12.5</f>
        <v>0</v>
      </c>
      <c r="E61" s="6">
        <f t="shared" si="60"/>
        <v>100</v>
      </c>
      <c r="F61" s="8" t="b">
        <v>0</v>
      </c>
      <c r="H61" s="5">
        <v>10.0</v>
      </c>
      <c r="I61" s="9"/>
    </row>
    <row r="62">
      <c r="A62" s="4" t="s">
        <v>77</v>
      </c>
      <c r="B62" s="5">
        <v>10.0</v>
      </c>
      <c r="C62" s="5">
        <v>6.0</v>
      </c>
      <c r="D62" s="6">
        <f t="shared" ref="D62:E62" si="61">B62*12.5</f>
        <v>125</v>
      </c>
      <c r="E62" s="6">
        <f t="shared" si="61"/>
        <v>75</v>
      </c>
      <c r="F62" s="5" t="b">
        <v>1</v>
      </c>
      <c r="G62" s="5">
        <v>3.0</v>
      </c>
      <c r="H62" s="5">
        <v>2.0</v>
      </c>
      <c r="I62" s="7">
        <v>46270.0</v>
      </c>
    </row>
    <row r="63">
      <c r="A63" s="4" t="s">
        <v>78</v>
      </c>
      <c r="B63" s="5">
        <v>5.0</v>
      </c>
      <c r="C63" s="5">
        <v>3.0</v>
      </c>
      <c r="D63" s="6">
        <f t="shared" ref="D63:E63" si="62">B63*12.5</f>
        <v>62.5</v>
      </c>
      <c r="E63" s="6">
        <f t="shared" si="62"/>
        <v>37.5</v>
      </c>
      <c r="F63" s="5" t="b">
        <v>1</v>
      </c>
      <c r="G63" s="5">
        <v>4.0</v>
      </c>
      <c r="H63" s="5">
        <v>4.0</v>
      </c>
      <c r="I63" s="7">
        <v>46270.0</v>
      </c>
    </row>
    <row r="64">
      <c r="A64" s="4" t="s">
        <v>79</v>
      </c>
      <c r="B64" s="5">
        <v>3.0</v>
      </c>
      <c r="C64" s="5">
        <v>3.0</v>
      </c>
      <c r="D64" s="6">
        <f t="shared" ref="D64:E64" si="63">B64*12.5</f>
        <v>37.5</v>
      </c>
      <c r="E64" s="6">
        <f t="shared" si="63"/>
        <v>37.5</v>
      </c>
      <c r="F64" s="5" t="b">
        <v>1</v>
      </c>
      <c r="G64" s="5">
        <v>3.0</v>
      </c>
      <c r="H64" s="5">
        <v>3.0</v>
      </c>
      <c r="I64" s="7">
        <v>46263.0</v>
      </c>
    </row>
    <row r="65">
      <c r="A65" s="4" t="s">
        <v>80</v>
      </c>
      <c r="B65" s="5">
        <v>1.5</v>
      </c>
      <c r="C65" s="5">
        <v>2.0</v>
      </c>
      <c r="D65" s="6">
        <f t="shared" ref="D65:E65" si="64">B65*12.5</f>
        <v>18.75</v>
      </c>
      <c r="E65" s="6">
        <f t="shared" si="64"/>
        <v>25</v>
      </c>
      <c r="F65" s="5" t="b">
        <v>1</v>
      </c>
      <c r="G65" s="5">
        <v>3.0</v>
      </c>
      <c r="H65" s="5">
        <v>3.0</v>
      </c>
      <c r="I65" s="7">
        <v>46263.0</v>
      </c>
    </row>
    <row r="66">
      <c r="A66" s="4" t="s">
        <v>81</v>
      </c>
      <c r="B66" s="5">
        <f>C66/16*MIN(16,COUNTIF('Dados do Burndown'!R2:R17,"&lt;="&amp;TODAY()-6))</f>
        <v>140</v>
      </c>
      <c r="C66" s="5">
        <v>280.0</v>
      </c>
      <c r="D66" s="6">
        <f t="shared" ref="D66:E66" si="65">B66*12.5</f>
        <v>1750</v>
      </c>
      <c r="E66" s="6">
        <f t="shared" si="65"/>
        <v>3500</v>
      </c>
      <c r="F66" s="8" t="b">
        <v>0</v>
      </c>
      <c r="I66" s="9"/>
    </row>
    <row r="67">
      <c r="A67" s="4" t="s">
        <v>82</v>
      </c>
      <c r="B67" s="5">
        <v>3.5</v>
      </c>
      <c r="C67" s="5">
        <v>3.5</v>
      </c>
      <c r="D67" s="6">
        <f t="shared" ref="D67:E67" si="66">B67*12.5</f>
        <v>43.75</v>
      </c>
      <c r="E67" s="6">
        <f t="shared" si="66"/>
        <v>43.75</v>
      </c>
      <c r="F67" s="5" t="b">
        <v>1</v>
      </c>
      <c r="G67" s="5">
        <v>6.0</v>
      </c>
      <c r="H67" s="5">
        <v>6.0</v>
      </c>
      <c r="I67" s="7">
        <v>46279.0</v>
      </c>
    </row>
    <row r="68">
      <c r="A68" s="4" t="s">
        <v>83</v>
      </c>
      <c r="B68" s="5"/>
      <c r="C68" s="5">
        <v>3.5</v>
      </c>
      <c r="D68" s="6">
        <f t="shared" ref="D68:E68" si="67">B68*12.5</f>
        <v>0</v>
      </c>
      <c r="E68" s="6">
        <f t="shared" si="67"/>
        <v>43.75</v>
      </c>
      <c r="F68" s="8" t="b">
        <v>0</v>
      </c>
      <c r="H68" s="5">
        <v>9.0</v>
      </c>
      <c r="I68" s="9"/>
    </row>
    <row r="69">
      <c r="A69" s="4" t="s">
        <v>84</v>
      </c>
      <c r="B69" s="5"/>
      <c r="C69" s="5">
        <v>3.5</v>
      </c>
      <c r="D69" s="6">
        <f t="shared" ref="D69:E69" si="68">B69*12.5</f>
        <v>0</v>
      </c>
      <c r="E69" s="6">
        <f t="shared" si="68"/>
        <v>43.75</v>
      </c>
      <c r="F69" s="8" t="b">
        <v>0</v>
      </c>
      <c r="H69" s="5">
        <v>16.0</v>
      </c>
      <c r="I69" s="9"/>
    </row>
    <row r="70">
      <c r="A70" s="4" t="s">
        <v>85</v>
      </c>
      <c r="B70" s="5">
        <v>3.5</v>
      </c>
      <c r="C70" s="5">
        <v>7.0</v>
      </c>
      <c r="D70" s="6">
        <f t="shared" ref="D70:E70" si="69">B70*12.5</f>
        <v>43.75</v>
      </c>
      <c r="E70" s="6">
        <f t="shared" si="69"/>
        <v>87.5</v>
      </c>
      <c r="F70" s="5" t="b">
        <v>1</v>
      </c>
      <c r="G70" s="5">
        <v>1.0</v>
      </c>
      <c r="H70" s="5">
        <v>1.0</v>
      </c>
      <c r="I70" s="7">
        <v>46246.0</v>
      </c>
    </row>
    <row r="71">
      <c r="A71" s="4" t="s">
        <v>86</v>
      </c>
      <c r="B71" s="5"/>
      <c r="C71" s="5">
        <v>5.0</v>
      </c>
      <c r="D71" s="6">
        <f t="shared" ref="D71:E71" si="70">B71*12.5</f>
        <v>0</v>
      </c>
      <c r="E71" s="6">
        <f t="shared" si="70"/>
        <v>62.5</v>
      </c>
      <c r="F71" s="8" t="b">
        <v>0</v>
      </c>
      <c r="G71" s="5"/>
      <c r="H71" s="5">
        <v>5.0</v>
      </c>
      <c r="I71" s="9"/>
    </row>
    <row r="72">
      <c r="A72" s="4" t="s">
        <v>87</v>
      </c>
      <c r="B72" s="5"/>
      <c r="C72" s="5">
        <v>5.0</v>
      </c>
      <c r="D72" s="6">
        <f t="shared" ref="D72:E72" si="71">B72*12.5</f>
        <v>0</v>
      </c>
      <c r="E72" s="6">
        <f t="shared" si="71"/>
        <v>62.5</v>
      </c>
      <c r="F72" s="5" t="b">
        <v>0</v>
      </c>
      <c r="G72" s="5"/>
      <c r="H72" s="5">
        <v>15.0</v>
      </c>
      <c r="I72" s="9"/>
    </row>
    <row r="73">
      <c r="A73" s="4" t="s">
        <v>88</v>
      </c>
      <c r="B73" s="5">
        <v>0.0</v>
      </c>
      <c r="C73" s="5">
        <v>0.0</v>
      </c>
      <c r="D73" s="6">
        <f t="shared" ref="D73:E73" si="72">B73*12.5</f>
        <v>0</v>
      </c>
      <c r="E73" s="6">
        <f t="shared" si="72"/>
        <v>0</v>
      </c>
      <c r="F73" s="5" t="b">
        <v>1</v>
      </c>
      <c r="G73" s="5">
        <v>3.0</v>
      </c>
      <c r="H73" s="5">
        <v>3.0</v>
      </c>
      <c r="I73" s="9"/>
    </row>
    <row r="74">
      <c r="A74" s="4" t="s">
        <v>89</v>
      </c>
      <c r="B74" s="5">
        <v>6.0</v>
      </c>
      <c r="C74" s="5">
        <v>5.0</v>
      </c>
      <c r="D74" s="6">
        <f t="shared" ref="D74:E74" si="73">B74*12.5</f>
        <v>75</v>
      </c>
      <c r="E74" s="6">
        <f t="shared" si="73"/>
        <v>62.5</v>
      </c>
      <c r="F74" s="5" t="b">
        <v>1</v>
      </c>
      <c r="G74" s="5">
        <v>5.0</v>
      </c>
      <c r="H74" s="5">
        <v>5.0</v>
      </c>
      <c r="I74" s="7">
        <v>46277.0</v>
      </c>
    </row>
    <row r="75">
      <c r="A75" s="4" t="s">
        <v>90</v>
      </c>
      <c r="B75" s="5">
        <v>4.0</v>
      </c>
      <c r="C75" s="5">
        <v>3.0</v>
      </c>
      <c r="D75" s="6">
        <f t="shared" ref="D75:E75" si="74">B75*12.5</f>
        <v>50</v>
      </c>
      <c r="E75" s="6">
        <f t="shared" si="74"/>
        <v>37.5</v>
      </c>
      <c r="F75" s="5" t="b">
        <v>1</v>
      </c>
      <c r="G75" s="5">
        <v>3.0</v>
      </c>
      <c r="H75" s="5">
        <v>3.0</v>
      </c>
      <c r="I75" s="7">
        <v>46263.0</v>
      </c>
    </row>
    <row r="76">
      <c r="A76" s="10" t="s">
        <v>91</v>
      </c>
      <c r="B76" s="11"/>
      <c r="C76" s="11">
        <v>8.0</v>
      </c>
      <c r="D76" s="6">
        <f t="shared" ref="D76:E76" si="75">B76*12.5</f>
        <v>0</v>
      </c>
      <c r="E76" s="6">
        <f t="shared" si="75"/>
        <v>100</v>
      </c>
      <c r="F76" s="8" t="b">
        <v>0</v>
      </c>
      <c r="H76" s="5">
        <v>15.0</v>
      </c>
      <c r="I76" s="9"/>
    </row>
    <row r="77">
      <c r="A77" s="10" t="s">
        <v>92</v>
      </c>
      <c r="B77" s="11"/>
      <c r="C77" s="11">
        <v>8.0</v>
      </c>
      <c r="D77" s="6">
        <f t="shared" ref="D77:E77" si="76">B77*12.5</f>
        <v>0</v>
      </c>
      <c r="E77" s="6">
        <f t="shared" si="76"/>
        <v>100</v>
      </c>
      <c r="F77" s="8" t="b">
        <v>0</v>
      </c>
      <c r="H77" s="5">
        <v>15.0</v>
      </c>
      <c r="I77" s="9"/>
    </row>
    <row r="78">
      <c r="D78" s="18"/>
      <c r="E78" s="18"/>
      <c r="I78" s="9"/>
    </row>
    <row r="79">
      <c r="D79" s="18"/>
      <c r="E79" s="18"/>
      <c r="I79" s="9"/>
    </row>
    <row r="80">
      <c r="D80" s="18"/>
      <c r="E80" s="18"/>
      <c r="I80" s="9"/>
    </row>
    <row r="81">
      <c r="D81" s="18"/>
      <c r="E81" s="18"/>
      <c r="I81" s="9"/>
    </row>
    <row r="82">
      <c r="D82" s="18"/>
      <c r="E82" s="18"/>
      <c r="I82" s="9"/>
    </row>
    <row r="83">
      <c r="D83" s="18"/>
      <c r="E83" s="18"/>
      <c r="I83" s="9"/>
    </row>
    <row r="84">
      <c r="D84" s="18"/>
      <c r="E84" s="18"/>
      <c r="I84" s="9"/>
    </row>
    <row r="85">
      <c r="D85" s="18"/>
      <c r="E85" s="18"/>
      <c r="I85" s="9"/>
    </row>
    <row r="86">
      <c r="D86" s="18"/>
      <c r="E86" s="18"/>
      <c r="I86" s="9"/>
    </row>
    <row r="87">
      <c r="D87" s="18"/>
      <c r="E87" s="18"/>
      <c r="I87" s="9"/>
    </row>
    <row r="88">
      <c r="D88" s="18"/>
      <c r="E88" s="18"/>
      <c r="I88" s="9"/>
    </row>
    <row r="89">
      <c r="D89" s="18"/>
      <c r="E89" s="18"/>
      <c r="I89" s="9"/>
    </row>
    <row r="90">
      <c r="D90" s="18"/>
      <c r="E90" s="18"/>
      <c r="I90" s="9"/>
    </row>
    <row r="91">
      <c r="D91" s="18"/>
      <c r="E91" s="18"/>
      <c r="I91" s="9"/>
    </row>
    <row r="92">
      <c r="D92" s="18"/>
      <c r="E92" s="18"/>
      <c r="I92" s="9"/>
    </row>
    <row r="93">
      <c r="D93" s="18"/>
      <c r="E93" s="18"/>
      <c r="I93" s="9"/>
    </row>
    <row r="94">
      <c r="D94" s="18"/>
      <c r="E94" s="18"/>
      <c r="I94" s="9"/>
    </row>
    <row r="95">
      <c r="D95" s="18"/>
      <c r="E95" s="18"/>
      <c r="I95" s="9"/>
    </row>
    <row r="96">
      <c r="D96" s="18"/>
      <c r="E96" s="18"/>
      <c r="I96" s="9"/>
    </row>
    <row r="97">
      <c r="D97" s="18"/>
      <c r="E97" s="18"/>
      <c r="I97" s="9"/>
    </row>
    <row r="98">
      <c r="D98" s="18"/>
      <c r="E98" s="18"/>
      <c r="I98" s="9"/>
    </row>
    <row r="99">
      <c r="D99" s="18"/>
      <c r="E99" s="18"/>
      <c r="I99" s="9"/>
    </row>
    <row r="100">
      <c r="D100" s="18"/>
      <c r="E100" s="18"/>
      <c r="I100" s="9"/>
    </row>
    <row r="101">
      <c r="D101" s="18"/>
      <c r="E101" s="18"/>
      <c r="I101" s="9"/>
    </row>
    <row r="102">
      <c r="D102" s="18"/>
      <c r="E102" s="18"/>
      <c r="I102" s="9"/>
    </row>
    <row r="103">
      <c r="D103" s="18"/>
      <c r="E103" s="18"/>
      <c r="I103" s="9"/>
    </row>
    <row r="104">
      <c r="D104" s="18"/>
      <c r="E104" s="18"/>
      <c r="I104" s="9"/>
    </row>
    <row r="105">
      <c r="D105" s="18"/>
      <c r="E105" s="18"/>
      <c r="I105" s="9"/>
    </row>
    <row r="106">
      <c r="D106" s="18"/>
      <c r="E106" s="18"/>
      <c r="I106" s="9"/>
    </row>
    <row r="107">
      <c r="D107" s="18"/>
      <c r="E107" s="18"/>
      <c r="I107" s="9"/>
    </row>
    <row r="108">
      <c r="D108" s="18"/>
      <c r="E108" s="18"/>
      <c r="I108" s="9"/>
    </row>
    <row r="109">
      <c r="D109" s="18"/>
      <c r="E109" s="18"/>
      <c r="I109" s="9"/>
    </row>
    <row r="110">
      <c r="D110" s="18"/>
      <c r="E110" s="18"/>
      <c r="I110" s="9"/>
    </row>
    <row r="111">
      <c r="D111" s="18"/>
      <c r="E111" s="18"/>
      <c r="I111" s="9"/>
    </row>
    <row r="112">
      <c r="D112" s="18"/>
      <c r="E112" s="18"/>
      <c r="I112" s="9"/>
    </row>
    <row r="113">
      <c r="D113" s="18"/>
      <c r="E113" s="18"/>
      <c r="I113" s="9"/>
    </row>
    <row r="114">
      <c r="D114" s="18"/>
      <c r="E114" s="18"/>
      <c r="I114" s="9"/>
    </row>
    <row r="115">
      <c r="D115" s="18"/>
      <c r="E115" s="18"/>
      <c r="I115" s="9"/>
    </row>
    <row r="116">
      <c r="D116" s="18"/>
      <c r="E116" s="18"/>
      <c r="I116" s="9"/>
    </row>
    <row r="117">
      <c r="D117" s="18"/>
      <c r="E117" s="18"/>
      <c r="I117" s="9"/>
    </row>
    <row r="118">
      <c r="D118" s="18"/>
      <c r="E118" s="18"/>
      <c r="I118" s="9"/>
    </row>
    <row r="119">
      <c r="D119" s="18"/>
      <c r="E119" s="18"/>
      <c r="I119" s="9"/>
    </row>
    <row r="120">
      <c r="D120" s="18"/>
      <c r="E120" s="18"/>
      <c r="I120" s="9"/>
    </row>
    <row r="121">
      <c r="D121" s="18"/>
      <c r="E121" s="18"/>
      <c r="I121" s="9"/>
    </row>
    <row r="122">
      <c r="D122" s="18"/>
      <c r="E122" s="18"/>
      <c r="I122" s="9"/>
    </row>
    <row r="123">
      <c r="D123" s="18"/>
      <c r="E123" s="18"/>
      <c r="I123" s="9"/>
    </row>
    <row r="124">
      <c r="D124" s="18"/>
      <c r="E124" s="18"/>
      <c r="I124" s="9"/>
    </row>
    <row r="125">
      <c r="D125" s="18"/>
      <c r="E125" s="18"/>
      <c r="I125" s="9"/>
    </row>
    <row r="126">
      <c r="D126" s="18"/>
      <c r="E126" s="18"/>
      <c r="I126" s="9"/>
    </row>
    <row r="127">
      <c r="D127" s="18"/>
      <c r="E127" s="18"/>
      <c r="I127" s="9"/>
    </row>
    <row r="128">
      <c r="D128" s="18"/>
      <c r="E128" s="18"/>
      <c r="I128" s="9"/>
    </row>
    <row r="129">
      <c r="D129" s="18"/>
      <c r="E129" s="18"/>
      <c r="I129" s="9"/>
    </row>
    <row r="130">
      <c r="D130" s="18"/>
      <c r="E130" s="18"/>
      <c r="I130" s="9"/>
    </row>
    <row r="131">
      <c r="D131" s="18"/>
      <c r="E131" s="18"/>
      <c r="I131" s="9"/>
    </row>
    <row r="132">
      <c r="D132" s="18"/>
      <c r="E132" s="18"/>
      <c r="I132" s="9"/>
    </row>
    <row r="133">
      <c r="D133" s="18"/>
      <c r="E133" s="18"/>
      <c r="I133" s="9"/>
    </row>
    <row r="134">
      <c r="D134" s="18"/>
      <c r="E134" s="18"/>
      <c r="I134" s="9"/>
    </row>
    <row r="135">
      <c r="D135" s="18"/>
      <c r="E135" s="18"/>
      <c r="I135" s="9"/>
    </row>
    <row r="136">
      <c r="D136" s="18"/>
      <c r="E136" s="18"/>
      <c r="I136" s="9"/>
    </row>
    <row r="137">
      <c r="D137" s="18"/>
      <c r="E137" s="18"/>
      <c r="I137" s="9"/>
    </row>
    <row r="138">
      <c r="D138" s="18"/>
      <c r="E138" s="18"/>
      <c r="I138" s="9"/>
    </row>
    <row r="139">
      <c r="D139" s="18"/>
      <c r="E139" s="18"/>
      <c r="I139" s="9"/>
    </row>
    <row r="140">
      <c r="D140" s="18"/>
      <c r="E140" s="18"/>
      <c r="I140" s="9"/>
    </row>
    <row r="141">
      <c r="D141" s="18"/>
      <c r="E141" s="18"/>
      <c r="I141" s="9"/>
    </row>
    <row r="142">
      <c r="D142" s="18"/>
      <c r="E142" s="18"/>
      <c r="I142" s="9"/>
    </row>
    <row r="143">
      <c r="D143" s="18"/>
      <c r="E143" s="18"/>
      <c r="I143" s="9"/>
    </row>
    <row r="144">
      <c r="D144" s="18"/>
      <c r="E144" s="18"/>
      <c r="I144" s="9"/>
    </row>
    <row r="145">
      <c r="D145" s="18"/>
      <c r="E145" s="18"/>
      <c r="I145" s="9"/>
    </row>
    <row r="146">
      <c r="D146" s="18"/>
      <c r="E146" s="18"/>
      <c r="I146" s="9"/>
    </row>
    <row r="147">
      <c r="D147" s="18"/>
      <c r="E147" s="18"/>
      <c r="I147" s="9"/>
    </row>
    <row r="148">
      <c r="D148" s="18"/>
      <c r="E148" s="18"/>
      <c r="I148" s="9"/>
    </row>
    <row r="149">
      <c r="D149" s="18"/>
      <c r="E149" s="18"/>
      <c r="I149" s="9"/>
    </row>
    <row r="150">
      <c r="D150" s="18"/>
      <c r="E150" s="18"/>
      <c r="I150" s="9"/>
    </row>
    <row r="151">
      <c r="D151" s="18"/>
      <c r="E151" s="18"/>
      <c r="I151" s="9"/>
    </row>
    <row r="152">
      <c r="D152" s="18"/>
      <c r="E152" s="18"/>
      <c r="I152" s="9"/>
    </row>
    <row r="153">
      <c r="D153" s="18"/>
      <c r="E153" s="18"/>
      <c r="I153" s="9"/>
    </row>
    <row r="154">
      <c r="D154" s="18"/>
      <c r="E154" s="18"/>
      <c r="I154" s="9"/>
    </row>
    <row r="155">
      <c r="D155" s="18"/>
      <c r="E155" s="18"/>
      <c r="I155" s="9"/>
    </row>
    <row r="156">
      <c r="D156" s="18"/>
      <c r="E156" s="18"/>
      <c r="I156" s="9"/>
    </row>
    <row r="157">
      <c r="D157" s="18"/>
      <c r="E157" s="18"/>
      <c r="I157" s="9"/>
    </row>
    <row r="158">
      <c r="D158" s="18"/>
      <c r="E158" s="18"/>
      <c r="I158" s="9"/>
    </row>
    <row r="159">
      <c r="D159" s="18"/>
      <c r="E159" s="18"/>
      <c r="I159" s="9"/>
    </row>
    <row r="160">
      <c r="D160" s="18"/>
      <c r="E160" s="18"/>
      <c r="I160" s="9"/>
    </row>
    <row r="161">
      <c r="D161" s="18"/>
      <c r="E161" s="18"/>
      <c r="I161" s="9"/>
    </row>
    <row r="162">
      <c r="D162" s="18"/>
      <c r="E162" s="18"/>
      <c r="I162" s="9"/>
    </row>
    <row r="163">
      <c r="D163" s="18"/>
      <c r="E163" s="18"/>
      <c r="I163" s="9"/>
    </row>
    <row r="164">
      <c r="D164" s="18"/>
      <c r="E164" s="18"/>
      <c r="I164" s="9"/>
    </row>
    <row r="165">
      <c r="D165" s="18"/>
      <c r="E165" s="18"/>
      <c r="I165" s="9"/>
    </row>
    <row r="166">
      <c r="D166" s="18"/>
      <c r="E166" s="18"/>
      <c r="I166" s="9"/>
    </row>
    <row r="167">
      <c r="D167" s="18"/>
      <c r="E167" s="18"/>
      <c r="I167" s="9"/>
    </row>
    <row r="168">
      <c r="D168" s="18"/>
      <c r="E168" s="18"/>
      <c r="I168" s="9"/>
    </row>
    <row r="169">
      <c r="D169" s="18"/>
      <c r="E169" s="18"/>
      <c r="I169" s="9"/>
    </row>
    <row r="170">
      <c r="D170" s="18"/>
      <c r="E170" s="18"/>
      <c r="I170" s="9"/>
    </row>
    <row r="171">
      <c r="D171" s="18"/>
      <c r="E171" s="18"/>
      <c r="I171" s="9"/>
    </row>
    <row r="172">
      <c r="D172" s="18"/>
      <c r="E172" s="18"/>
      <c r="I172" s="9"/>
    </row>
    <row r="173">
      <c r="D173" s="18"/>
      <c r="E173" s="18"/>
      <c r="I173" s="9"/>
    </row>
    <row r="174">
      <c r="D174" s="18"/>
      <c r="E174" s="18"/>
      <c r="I174" s="9"/>
    </row>
    <row r="175">
      <c r="D175" s="18"/>
      <c r="E175" s="18"/>
      <c r="I175" s="9"/>
    </row>
    <row r="176">
      <c r="D176" s="18"/>
      <c r="E176" s="18"/>
      <c r="I176" s="9"/>
    </row>
    <row r="177">
      <c r="D177" s="18"/>
      <c r="E177" s="18"/>
      <c r="I177" s="9"/>
    </row>
    <row r="178">
      <c r="D178" s="18"/>
      <c r="E178" s="18"/>
      <c r="I178" s="9"/>
    </row>
    <row r="179">
      <c r="D179" s="18"/>
      <c r="E179" s="18"/>
      <c r="I179" s="9"/>
    </row>
    <row r="180">
      <c r="D180" s="18"/>
      <c r="E180" s="18"/>
      <c r="I180" s="9"/>
    </row>
    <row r="181">
      <c r="D181" s="18"/>
      <c r="E181" s="18"/>
      <c r="I181" s="9"/>
    </row>
    <row r="182">
      <c r="D182" s="18"/>
      <c r="E182" s="18"/>
      <c r="I182" s="9"/>
    </row>
    <row r="183">
      <c r="D183" s="18"/>
      <c r="E183" s="18"/>
      <c r="I183" s="9"/>
    </row>
    <row r="184">
      <c r="D184" s="18"/>
      <c r="E184" s="18"/>
      <c r="I184" s="9"/>
    </row>
    <row r="185">
      <c r="D185" s="18"/>
      <c r="E185" s="18"/>
      <c r="I185" s="9"/>
    </row>
    <row r="186">
      <c r="D186" s="18"/>
      <c r="E186" s="18"/>
      <c r="I186" s="9"/>
    </row>
    <row r="187">
      <c r="D187" s="18"/>
      <c r="E187" s="18"/>
      <c r="I187" s="9"/>
    </row>
    <row r="188">
      <c r="D188" s="18"/>
      <c r="E188" s="18"/>
      <c r="I188" s="9"/>
    </row>
    <row r="189">
      <c r="D189" s="18"/>
      <c r="E189" s="18"/>
      <c r="I189" s="9"/>
    </row>
    <row r="190">
      <c r="D190" s="18"/>
      <c r="E190" s="18"/>
      <c r="I190" s="9"/>
    </row>
    <row r="191">
      <c r="D191" s="18"/>
      <c r="E191" s="18"/>
      <c r="I191" s="9"/>
    </row>
    <row r="192">
      <c r="D192" s="18"/>
      <c r="E192" s="18"/>
      <c r="I192" s="9"/>
    </row>
    <row r="193">
      <c r="D193" s="18"/>
      <c r="E193" s="18"/>
      <c r="I193" s="9"/>
    </row>
    <row r="194">
      <c r="D194" s="18"/>
      <c r="E194" s="18"/>
      <c r="I194" s="9"/>
    </row>
    <row r="195">
      <c r="D195" s="18"/>
      <c r="E195" s="18"/>
      <c r="I195" s="9"/>
    </row>
    <row r="196">
      <c r="D196" s="18"/>
      <c r="E196" s="18"/>
      <c r="I196" s="9"/>
    </row>
    <row r="197">
      <c r="D197" s="18"/>
      <c r="E197" s="18"/>
      <c r="I197" s="9"/>
    </row>
    <row r="198">
      <c r="D198" s="18"/>
      <c r="E198" s="18"/>
      <c r="I198" s="9"/>
    </row>
    <row r="199">
      <c r="D199" s="18"/>
      <c r="E199" s="18"/>
      <c r="I199" s="9"/>
    </row>
    <row r="200">
      <c r="D200" s="18"/>
      <c r="E200" s="18"/>
      <c r="I200" s="9"/>
    </row>
    <row r="201">
      <c r="D201" s="18"/>
      <c r="E201" s="18"/>
      <c r="I201" s="9"/>
    </row>
    <row r="202">
      <c r="D202" s="18"/>
      <c r="E202" s="18"/>
      <c r="I202" s="9"/>
    </row>
    <row r="203">
      <c r="D203" s="18"/>
      <c r="E203" s="18"/>
      <c r="I203" s="9"/>
    </row>
    <row r="204">
      <c r="D204" s="18"/>
      <c r="E204" s="18"/>
      <c r="I204" s="9"/>
    </row>
    <row r="205">
      <c r="D205" s="18"/>
      <c r="E205" s="18"/>
      <c r="I205" s="9"/>
    </row>
    <row r="206">
      <c r="D206" s="18"/>
      <c r="E206" s="18"/>
      <c r="I206" s="9"/>
    </row>
    <row r="207">
      <c r="D207" s="18"/>
      <c r="E207" s="18"/>
      <c r="I207" s="9"/>
    </row>
    <row r="208">
      <c r="D208" s="18"/>
      <c r="E208" s="18"/>
      <c r="I208" s="9"/>
    </row>
    <row r="209">
      <c r="D209" s="18"/>
      <c r="E209" s="18"/>
      <c r="I209" s="9"/>
    </row>
    <row r="210">
      <c r="D210" s="18"/>
      <c r="E210" s="18"/>
      <c r="I210" s="9"/>
    </row>
    <row r="211">
      <c r="D211" s="18"/>
      <c r="E211" s="18"/>
      <c r="I211" s="9"/>
    </row>
    <row r="212">
      <c r="D212" s="18"/>
      <c r="E212" s="18"/>
      <c r="I212" s="9"/>
    </row>
    <row r="213">
      <c r="D213" s="18"/>
      <c r="E213" s="18"/>
      <c r="I213" s="9"/>
    </row>
    <row r="214">
      <c r="D214" s="18"/>
      <c r="E214" s="18"/>
      <c r="I214" s="9"/>
    </row>
    <row r="215">
      <c r="D215" s="18"/>
      <c r="E215" s="18"/>
      <c r="I215" s="9"/>
    </row>
    <row r="216">
      <c r="D216" s="18"/>
      <c r="E216" s="18"/>
      <c r="I216" s="9"/>
    </row>
    <row r="217">
      <c r="D217" s="18"/>
      <c r="E217" s="18"/>
      <c r="I217" s="9"/>
    </row>
    <row r="218">
      <c r="D218" s="18"/>
      <c r="E218" s="18"/>
      <c r="I218" s="9"/>
    </row>
    <row r="219">
      <c r="D219" s="18"/>
      <c r="E219" s="18"/>
      <c r="I219" s="9"/>
    </row>
    <row r="220">
      <c r="D220" s="18"/>
      <c r="E220" s="18"/>
      <c r="I220" s="9"/>
    </row>
    <row r="221">
      <c r="D221" s="18"/>
      <c r="E221" s="18"/>
      <c r="I221" s="9"/>
    </row>
    <row r="222">
      <c r="D222" s="18"/>
      <c r="E222" s="18"/>
      <c r="I222" s="9"/>
    </row>
    <row r="223">
      <c r="D223" s="18"/>
      <c r="E223" s="18"/>
      <c r="I223" s="9"/>
    </row>
    <row r="224">
      <c r="D224" s="18"/>
      <c r="E224" s="18"/>
      <c r="I224" s="9"/>
    </row>
    <row r="225">
      <c r="D225" s="18"/>
      <c r="E225" s="18"/>
      <c r="I225" s="9"/>
    </row>
    <row r="226">
      <c r="D226" s="18"/>
      <c r="E226" s="18"/>
      <c r="I226" s="9"/>
    </row>
    <row r="227">
      <c r="D227" s="18"/>
      <c r="E227" s="18"/>
      <c r="I227" s="9"/>
    </row>
    <row r="228">
      <c r="D228" s="18"/>
      <c r="E228" s="18"/>
      <c r="I228" s="9"/>
    </row>
    <row r="229">
      <c r="D229" s="18"/>
      <c r="E229" s="18"/>
      <c r="I229" s="9"/>
    </row>
    <row r="230">
      <c r="D230" s="18"/>
      <c r="E230" s="18"/>
      <c r="I230" s="9"/>
    </row>
    <row r="231">
      <c r="D231" s="18"/>
      <c r="E231" s="18"/>
      <c r="I231" s="9"/>
    </row>
    <row r="232">
      <c r="D232" s="18"/>
      <c r="E232" s="18"/>
      <c r="I232" s="9"/>
    </row>
    <row r="233">
      <c r="D233" s="18"/>
      <c r="E233" s="18"/>
      <c r="I233" s="9"/>
    </row>
    <row r="234">
      <c r="D234" s="18"/>
      <c r="E234" s="18"/>
      <c r="I234" s="9"/>
    </row>
    <row r="235">
      <c r="D235" s="18"/>
      <c r="E235" s="18"/>
      <c r="I235" s="9"/>
    </row>
    <row r="236">
      <c r="D236" s="18"/>
      <c r="E236" s="18"/>
      <c r="I236" s="9"/>
    </row>
    <row r="237">
      <c r="D237" s="18"/>
      <c r="E237" s="18"/>
      <c r="I237" s="9"/>
    </row>
    <row r="238">
      <c r="D238" s="18"/>
      <c r="E238" s="18"/>
      <c r="I238" s="9"/>
    </row>
    <row r="239">
      <c r="D239" s="18"/>
      <c r="E239" s="18"/>
      <c r="I239" s="9"/>
    </row>
    <row r="240">
      <c r="D240" s="18"/>
      <c r="E240" s="18"/>
      <c r="I240" s="9"/>
    </row>
    <row r="241">
      <c r="D241" s="18"/>
      <c r="E241" s="18"/>
      <c r="I241" s="9"/>
    </row>
    <row r="242">
      <c r="D242" s="18"/>
      <c r="E242" s="18"/>
      <c r="I242" s="9"/>
    </row>
    <row r="243">
      <c r="D243" s="18"/>
      <c r="E243" s="18"/>
      <c r="I243" s="9"/>
    </row>
    <row r="244">
      <c r="D244" s="18"/>
      <c r="E244" s="18"/>
      <c r="I244" s="9"/>
    </row>
    <row r="245">
      <c r="D245" s="18"/>
      <c r="E245" s="18"/>
      <c r="I245" s="9"/>
    </row>
    <row r="246">
      <c r="D246" s="18"/>
      <c r="E246" s="18"/>
      <c r="I246" s="9"/>
    </row>
    <row r="247">
      <c r="D247" s="18"/>
      <c r="E247" s="18"/>
      <c r="I247" s="9"/>
    </row>
    <row r="248">
      <c r="D248" s="18"/>
      <c r="E248" s="18"/>
      <c r="I248" s="9"/>
    </row>
    <row r="249">
      <c r="D249" s="18"/>
      <c r="E249" s="18"/>
      <c r="I249" s="9"/>
    </row>
    <row r="250">
      <c r="D250" s="18"/>
      <c r="E250" s="18"/>
      <c r="I250" s="9"/>
    </row>
    <row r="251">
      <c r="D251" s="18"/>
      <c r="E251" s="18"/>
      <c r="I251" s="9"/>
    </row>
    <row r="252">
      <c r="D252" s="18"/>
      <c r="E252" s="18"/>
      <c r="I252" s="9"/>
    </row>
    <row r="253">
      <c r="D253" s="18"/>
      <c r="E253" s="18"/>
      <c r="I253" s="9"/>
    </row>
    <row r="254">
      <c r="D254" s="18"/>
      <c r="E254" s="18"/>
      <c r="I254" s="9"/>
    </row>
    <row r="255">
      <c r="D255" s="18"/>
      <c r="E255" s="18"/>
      <c r="I255" s="9"/>
    </row>
    <row r="256">
      <c r="D256" s="18"/>
      <c r="E256" s="18"/>
      <c r="I256" s="9"/>
    </row>
    <row r="257">
      <c r="D257" s="18"/>
      <c r="E257" s="18"/>
      <c r="I257" s="9"/>
    </row>
    <row r="258">
      <c r="D258" s="18"/>
      <c r="E258" s="18"/>
      <c r="I258" s="9"/>
    </row>
    <row r="259">
      <c r="D259" s="18"/>
      <c r="E259" s="18"/>
      <c r="I259" s="9"/>
    </row>
    <row r="260">
      <c r="D260" s="18"/>
      <c r="E260" s="18"/>
      <c r="I260" s="9"/>
    </row>
    <row r="261">
      <c r="D261" s="18"/>
      <c r="E261" s="18"/>
      <c r="I261" s="9"/>
    </row>
    <row r="262">
      <c r="D262" s="18"/>
      <c r="E262" s="18"/>
      <c r="I262" s="9"/>
    </row>
    <row r="263">
      <c r="D263" s="18"/>
      <c r="E263" s="18"/>
      <c r="I263" s="9"/>
    </row>
    <row r="264">
      <c r="D264" s="18"/>
      <c r="E264" s="18"/>
      <c r="I264" s="9"/>
    </row>
    <row r="265">
      <c r="D265" s="18"/>
      <c r="E265" s="18"/>
      <c r="I265" s="9"/>
    </row>
    <row r="266">
      <c r="D266" s="18"/>
      <c r="E266" s="18"/>
      <c r="I266" s="9"/>
    </row>
    <row r="267">
      <c r="D267" s="18"/>
      <c r="E267" s="18"/>
      <c r="I267" s="9"/>
    </row>
    <row r="268">
      <c r="D268" s="18"/>
      <c r="E268" s="18"/>
      <c r="I268" s="9"/>
    </row>
    <row r="269">
      <c r="D269" s="18"/>
      <c r="E269" s="18"/>
      <c r="I269" s="9"/>
    </row>
    <row r="270">
      <c r="D270" s="18"/>
      <c r="E270" s="18"/>
      <c r="I270" s="9"/>
    </row>
    <row r="271">
      <c r="D271" s="18"/>
      <c r="E271" s="18"/>
      <c r="I271" s="9"/>
    </row>
    <row r="272">
      <c r="D272" s="18"/>
      <c r="E272" s="18"/>
      <c r="I272" s="9"/>
    </row>
    <row r="273">
      <c r="D273" s="18"/>
      <c r="E273" s="18"/>
      <c r="I273" s="9"/>
    </row>
    <row r="274">
      <c r="D274" s="18"/>
      <c r="E274" s="18"/>
      <c r="I274" s="9"/>
    </row>
    <row r="275">
      <c r="D275" s="18"/>
      <c r="E275" s="18"/>
      <c r="I275" s="9"/>
    </row>
    <row r="276">
      <c r="D276" s="18"/>
      <c r="E276" s="18"/>
      <c r="I276" s="9"/>
    </row>
    <row r="277">
      <c r="D277" s="18"/>
      <c r="E277" s="18"/>
      <c r="I277" s="9"/>
    </row>
    <row r="278">
      <c r="D278" s="18"/>
      <c r="E278" s="18"/>
      <c r="I278" s="9"/>
    </row>
    <row r="279">
      <c r="D279" s="18"/>
      <c r="E279" s="18"/>
      <c r="I279" s="9"/>
    </row>
    <row r="280">
      <c r="D280" s="18"/>
      <c r="E280" s="18"/>
      <c r="I280" s="9"/>
    </row>
    <row r="281">
      <c r="D281" s="18"/>
      <c r="E281" s="18"/>
      <c r="I281" s="9"/>
    </row>
    <row r="282">
      <c r="D282" s="18"/>
      <c r="E282" s="18"/>
      <c r="I282" s="9"/>
    </row>
    <row r="283">
      <c r="D283" s="18"/>
      <c r="E283" s="18"/>
      <c r="I283" s="9"/>
    </row>
    <row r="284">
      <c r="D284" s="18"/>
      <c r="E284" s="18"/>
      <c r="I284" s="9"/>
    </row>
    <row r="285">
      <c r="D285" s="18"/>
      <c r="E285" s="18"/>
      <c r="I285" s="9"/>
    </row>
    <row r="286">
      <c r="D286" s="18"/>
      <c r="E286" s="18"/>
      <c r="I286" s="9"/>
    </row>
    <row r="287">
      <c r="D287" s="18"/>
      <c r="E287" s="18"/>
      <c r="I287" s="9"/>
    </row>
    <row r="288">
      <c r="D288" s="18"/>
      <c r="E288" s="18"/>
      <c r="I288" s="9"/>
    </row>
    <row r="289">
      <c r="D289" s="18"/>
      <c r="E289" s="18"/>
      <c r="I289" s="9"/>
    </row>
    <row r="290">
      <c r="D290" s="18"/>
      <c r="E290" s="18"/>
      <c r="I290" s="9"/>
    </row>
    <row r="291">
      <c r="D291" s="18"/>
      <c r="E291" s="18"/>
      <c r="I291" s="9"/>
    </row>
    <row r="292">
      <c r="D292" s="18"/>
      <c r="E292" s="18"/>
      <c r="I292" s="9"/>
    </row>
    <row r="293">
      <c r="D293" s="18"/>
      <c r="E293" s="18"/>
      <c r="I293" s="9"/>
    </row>
    <row r="294">
      <c r="D294" s="18"/>
      <c r="E294" s="18"/>
      <c r="I294" s="9"/>
    </row>
    <row r="295">
      <c r="D295" s="18"/>
      <c r="E295" s="18"/>
      <c r="I295" s="9"/>
    </row>
    <row r="296">
      <c r="D296" s="18"/>
      <c r="E296" s="18"/>
      <c r="I296" s="9"/>
    </row>
    <row r="297">
      <c r="D297" s="18"/>
      <c r="E297" s="18"/>
      <c r="I297" s="9"/>
    </row>
    <row r="298">
      <c r="D298" s="18"/>
      <c r="E298" s="18"/>
      <c r="I298" s="9"/>
    </row>
    <row r="299">
      <c r="D299" s="18"/>
      <c r="E299" s="18"/>
      <c r="I299" s="9"/>
    </row>
    <row r="300">
      <c r="D300" s="18"/>
      <c r="E300" s="18"/>
      <c r="I300" s="9"/>
    </row>
    <row r="301">
      <c r="D301" s="18"/>
      <c r="E301" s="18"/>
      <c r="I301" s="9"/>
    </row>
    <row r="302">
      <c r="D302" s="18"/>
      <c r="E302" s="18"/>
      <c r="I302" s="9"/>
    </row>
    <row r="303">
      <c r="D303" s="18"/>
      <c r="E303" s="18"/>
      <c r="I303" s="9"/>
    </row>
    <row r="304">
      <c r="D304" s="18"/>
      <c r="E304" s="18"/>
      <c r="I304" s="9"/>
    </row>
    <row r="305">
      <c r="D305" s="18"/>
      <c r="E305" s="18"/>
      <c r="I305" s="9"/>
    </row>
    <row r="306">
      <c r="D306" s="18"/>
      <c r="E306" s="18"/>
      <c r="I306" s="9"/>
    </row>
    <row r="307">
      <c r="D307" s="18"/>
      <c r="E307" s="18"/>
      <c r="I307" s="9"/>
    </row>
    <row r="308">
      <c r="D308" s="18"/>
      <c r="E308" s="18"/>
      <c r="I308" s="9"/>
    </row>
    <row r="309">
      <c r="D309" s="18"/>
      <c r="E309" s="18"/>
      <c r="I309" s="9"/>
    </row>
    <row r="310">
      <c r="D310" s="18"/>
      <c r="E310" s="18"/>
      <c r="I310" s="9"/>
    </row>
    <row r="311">
      <c r="D311" s="18"/>
      <c r="E311" s="18"/>
      <c r="I311" s="9"/>
    </row>
    <row r="312">
      <c r="D312" s="18"/>
      <c r="E312" s="18"/>
      <c r="I312" s="9"/>
    </row>
    <row r="313">
      <c r="D313" s="18"/>
      <c r="E313" s="18"/>
      <c r="I313" s="9"/>
    </row>
    <row r="314">
      <c r="D314" s="18"/>
      <c r="E314" s="18"/>
      <c r="I314" s="9"/>
    </row>
    <row r="315">
      <c r="D315" s="18"/>
      <c r="E315" s="18"/>
      <c r="I315" s="9"/>
    </row>
    <row r="316">
      <c r="D316" s="18"/>
      <c r="E316" s="18"/>
      <c r="I316" s="9"/>
    </row>
    <row r="317">
      <c r="D317" s="18"/>
      <c r="E317" s="18"/>
      <c r="I317" s="9"/>
    </row>
    <row r="318">
      <c r="D318" s="18"/>
      <c r="E318" s="18"/>
      <c r="I318" s="9"/>
    </row>
    <row r="319">
      <c r="D319" s="18"/>
      <c r="E319" s="18"/>
      <c r="I319" s="9"/>
    </row>
    <row r="320">
      <c r="D320" s="18"/>
      <c r="E320" s="18"/>
      <c r="I320" s="9"/>
    </row>
    <row r="321">
      <c r="D321" s="18"/>
      <c r="E321" s="18"/>
      <c r="I321" s="9"/>
    </row>
    <row r="322">
      <c r="D322" s="18"/>
      <c r="E322" s="18"/>
      <c r="I322" s="9"/>
    </row>
    <row r="323">
      <c r="D323" s="18"/>
      <c r="E323" s="18"/>
      <c r="I323" s="9"/>
    </row>
    <row r="324">
      <c r="D324" s="18"/>
      <c r="E324" s="18"/>
      <c r="I324" s="9"/>
    </row>
    <row r="325">
      <c r="D325" s="18"/>
      <c r="E325" s="18"/>
      <c r="I325" s="9"/>
    </row>
    <row r="326">
      <c r="D326" s="18"/>
      <c r="E326" s="18"/>
      <c r="I326" s="9"/>
    </row>
    <row r="327">
      <c r="D327" s="18"/>
      <c r="E327" s="18"/>
      <c r="I327" s="9"/>
    </row>
    <row r="328">
      <c r="D328" s="18"/>
      <c r="E328" s="18"/>
      <c r="I328" s="9"/>
    </row>
    <row r="329">
      <c r="D329" s="18"/>
      <c r="E329" s="18"/>
      <c r="I329" s="9"/>
    </row>
    <row r="330">
      <c r="D330" s="18"/>
      <c r="E330" s="18"/>
      <c r="I330" s="9"/>
    </row>
    <row r="331">
      <c r="D331" s="18"/>
      <c r="E331" s="18"/>
      <c r="I331" s="9"/>
    </row>
    <row r="332">
      <c r="D332" s="18"/>
      <c r="E332" s="18"/>
      <c r="I332" s="9"/>
    </row>
    <row r="333">
      <c r="D333" s="18"/>
      <c r="E333" s="18"/>
      <c r="I333" s="9"/>
    </row>
    <row r="334">
      <c r="D334" s="18"/>
      <c r="E334" s="18"/>
      <c r="I334" s="9"/>
    </row>
    <row r="335">
      <c r="D335" s="18"/>
      <c r="E335" s="18"/>
      <c r="I335" s="9"/>
    </row>
    <row r="336">
      <c r="D336" s="18"/>
      <c r="E336" s="18"/>
      <c r="I336" s="9"/>
    </row>
    <row r="337">
      <c r="D337" s="18"/>
      <c r="E337" s="18"/>
      <c r="I337" s="9"/>
    </row>
    <row r="338">
      <c r="D338" s="18"/>
      <c r="E338" s="18"/>
      <c r="I338" s="9"/>
    </row>
    <row r="339">
      <c r="D339" s="18"/>
      <c r="E339" s="18"/>
      <c r="I339" s="9"/>
    </row>
    <row r="340">
      <c r="D340" s="18"/>
      <c r="E340" s="18"/>
      <c r="I340" s="9"/>
    </row>
    <row r="341">
      <c r="D341" s="18"/>
      <c r="E341" s="18"/>
      <c r="I341" s="9"/>
    </row>
    <row r="342">
      <c r="D342" s="18"/>
      <c r="E342" s="18"/>
      <c r="I342" s="9"/>
    </row>
    <row r="343">
      <c r="D343" s="18"/>
      <c r="E343" s="18"/>
      <c r="I343" s="9"/>
    </row>
    <row r="344">
      <c r="D344" s="18"/>
      <c r="E344" s="18"/>
      <c r="I344" s="9"/>
    </row>
    <row r="345">
      <c r="D345" s="18"/>
      <c r="E345" s="18"/>
      <c r="I345" s="9"/>
    </row>
    <row r="346">
      <c r="D346" s="18"/>
      <c r="E346" s="18"/>
      <c r="I346" s="9"/>
    </row>
    <row r="347">
      <c r="D347" s="18"/>
      <c r="E347" s="18"/>
      <c r="I347" s="9"/>
    </row>
    <row r="348">
      <c r="D348" s="18"/>
      <c r="E348" s="18"/>
      <c r="I348" s="9"/>
    </row>
    <row r="349">
      <c r="D349" s="18"/>
      <c r="E349" s="18"/>
      <c r="I349" s="9"/>
    </row>
    <row r="350">
      <c r="D350" s="18"/>
      <c r="E350" s="18"/>
      <c r="I350" s="9"/>
    </row>
    <row r="351">
      <c r="D351" s="18"/>
      <c r="E351" s="18"/>
      <c r="I351" s="9"/>
    </row>
    <row r="352">
      <c r="D352" s="18"/>
      <c r="E352" s="18"/>
      <c r="I352" s="9"/>
    </row>
    <row r="353">
      <c r="D353" s="18"/>
      <c r="E353" s="18"/>
      <c r="I353" s="9"/>
    </row>
    <row r="354">
      <c r="D354" s="18"/>
      <c r="E354" s="18"/>
      <c r="I354" s="9"/>
    </row>
    <row r="355">
      <c r="D355" s="18"/>
      <c r="E355" s="18"/>
      <c r="I355" s="9"/>
    </row>
    <row r="356">
      <c r="D356" s="18"/>
      <c r="E356" s="18"/>
      <c r="I356" s="9"/>
    </row>
    <row r="357">
      <c r="D357" s="18"/>
      <c r="E357" s="18"/>
      <c r="I357" s="9"/>
    </row>
    <row r="358">
      <c r="D358" s="18"/>
      <c r="E358" s="18"/>
      <c r="I358" s="9"/>
    </row>
    <row r="359">
      <c r="D359" s="18"/>
      <c r="E359" s="18"/>
      <c r="I359" s="9"/>
    </row>
    <row r="360">
      <c r="D360" s="18"/>
      <c r="E360" s="18"/>
      <c r="I360" s="9"/>
    </row>
    <row r="361">
      <c r="D361" s="18"/>
      <c r="E361" s="18"/>
      <c r="I361" s="9"/>
    </row>
    <row r="362">
      <c r="D362" s="18"/>
      <c r="E362" s="18"/>
      <c r="I362" s="9"/>
    </row>
    <row r="363">
      <c r="D363" s="18"/>
      <c r="E363" s="18"/>
      <c r="I363" s="9"/>
    </row>
    <row r="364">
      <c r="D364" s="18"/>
      <c r="E364" s="18"/>
      <c r="I364" s="9"/>
    </row>
    <row r="365">
      <c r="D365" s="18"/>
      <c r="E365" s="18"/>
      <c r="I365" s="9"/>
    </row>
    <row r="366">
      <c r="D366" s="18"/>
      <c r="E366" s="18"/>
      <c r="I366" s="9"/>
    </row>
    <row r="367">
      <c r="D367" s="18"/>
      <c r="E367" s="18"/>
      <c r="I367" s="9"/>
    </row>
    <row r="368">
      <c r="D368" s="18"/>
      <c r="E368" s="18"/>
      <c r="I368" s="9"/>
    </row>
    <row r="369">
      <c r="D369" s="18"/>
      <c r="E369" s="18"/>
      <c r="I369" s="9"/>
    </row>
    <row r="370">
      <c r="D370" s="18"/>
      <c r="E370" s="18"/>
      <c r="I370" s="9"/>
    </row>
    <row r="371">
      <c r="D371" s="18"/>
      <c r="E371" s="18"/>
      <c r="I371" s="9"/>
    </row>
    <row r="372">
      <c r="D372" s="18"/>
      <c r="E372" s="18"/>
      <c r="I372" s="9"/>
    </row>
    <row r="373">
      <c r="D373" s="18"/>
      <c r="E373" s="18"/>
      <c r="I373" s="9"/>
    </row>
    <row r="374">
      <c r="D374" s="18"/>
      <c r="E374" s="18"/>
      <c r="I374" s="9"/>
    </row>
    <row r="375">
      <c r="D375" s="18"/>
      <c r="E375" s="18"/>
      <c r="I375" s="9"/>
    </row>
    <row r="376">
      <c r="D376" s="18"/>
      <c r="E376" s="18"/>
      <c r="I376" s="9"/>
    </row>
    <row r="377">
      <c r="D377" s="18"/>
      <c r="E377" s="18"/>
      <c r="I377" s="9"/>
    </row>
    <row r="378">
      <c r="D378" s="18"/>
      <c r="E378" s="18"/>
      <c r="I378" s="9"/>
    </row>
    <row r="379">
      <c r="D379" s="18"/>
      <c r="E379" s="18"/>
      <c r="I379" s="9"/>
    </row>
    <row r="380">
      <c r="D380" s="18"/>
      <c r="E380" s="18"/>
      <c r="I380" s="9"/>
    </row>
    <row r="381">
      <c r="D381" s="18"/>
      <c r="E381" s="18"/>
      <c r="I381" s="9"/>
    </row>
    <row r="382">
      <c r="D382" s="18"/>
      <c r="E382" s="18"/>
      <c r="I382" s="9"/>
    </row>
    <row r="383">
      <c r="D383" s="18"/>
      <c r="E383" s="18"/>
      <c r="I383" s="9"/>
    </row>
    <row r="384">
      <c r="D384" s="18"/>
      <c r="E384" s="18"/>
      <c r="I384" s="9"/>
    </row>
    <row r="385">
      <c r="D385" s="18"/>
      <c r="E385" s="18"/>
      <c r="I385" s="9"/>
    </row>
    <row r="386">
      <c r="D386" s="18"/>
      <c r="E386" s="18"/>
      <c r="I386" s="9"/>
    </row>
    <row r="387">
      <c r="D387" s="18"/>
      <c r="E387" s="18"/>
      <c r="I387" s="9"/>
    </row>
    <row r="388">
      <c r="D388" s="18"/>
      <c r="E388" s="18"/>
      <c r="I388" s="9"/>
    </row>
    <row r="389">
      <c r="D389" s="18"/>
      <c r="E389" s="18"/>
      <c r="I389" s="9"/>
    </row>
    <row r="390">
      <c r="D390" s="18"/>
      <c r="E390" s="18"/>
      <c r="I390" s="9"/>
    </row>
    <row r="391">
      <c r="D391" s="18"/>
      <c r="E391" s="18"/>
      <c r="I391" s="9"/>
    </row>
    <row r="392">
      <c r="D392" s="18"/>
      <c r="E392" s="18"/>
      <c r="I392" s="9"/>
    </row>
    <row r="393">
      <c r="D393" s="18"/>
      <c r="E393" s="18"/>
      <c r="I393" s="9"/>
    </row>
    <row r="394">
      <c r="D394" s="18"/>
      <c r="E394" s="18"/>
      <c r="I394" s="9"/>
    </row>
    <row r="395">
      <c r="D395" s="18"/>
      <c r="E395" s="18"/>
      <c r="I395" s="9"/>
    </row>
    <row r="396">
      <c r="D396" s="18"/>
      <c r="E396" s="18"/>
      <c r="I396" s="9"/>
    </row>
    <row r="397">
      <c r="D397" s="18"/>
      <c r="E397" s="18"/>
      <c r="I397" s="9"/>
    </row>
    <row r="398">
      <c r="D398" s="18"/>
      <c r="E398" s="18"/>
      <c r="I398" s="9"/>
    </row>
    <row r="399">
      <c r="D399" s="18"/>
      <c r="E399" s="18"/>
      <c r="I399" s="9"/>
    </row>
    <row r="400">
      <c r="D400" s="18"/>
      <c r="E400" s="18"/>
      <c r="I400" s="9"/>
    </row>
    <row r="401">
      <c r="D401" s="18"/>
      <c r="E401" s="18"/>
      <c r="I401" s="9"/>
    </row>
    <row r="402">
      <c r="D402" s="18"/>
      <c r="E402" s="18"/>
      <c r="I402" s="9"/>
    </row>
    <row r="403">
      <c r="D403" s="18"/>
      <c r="E403" s="18"/>
      <c r="I403" s="9"/>
    </row>
    <row r="404">
      <c r="D404" s="18"/>
      <c r="E404" s="18"/>
      <c r="I404" s="9"/>
    </row>
    <row r="405">
      <c r="D405" s="18"/>
      <c r="E405" s="18"/>
      <c r="I405" s="9"/>
    </row>
    <row r="406">
      <c r="D406" s="18"/>
      <c r="E406" s="18"/>
      <c r="I406" s="9"/>
    </row>
    <row r="407">
      <c r="D407" s="18"/>
      <c r="E407" s="18"/>
      <c r="I407" s="9"/>
    </row>
    <row r="408">
      <c r="D408" s="18"/>
      <c r="E408" s="18"/>
      <c r="I408" s="9"/>
    </row>
    <row r="409">
      <c r="D409" s="18"/>
      <c r="E409" s="18"/>
      <c r="I409" s="9"/>
    </row>
    <row r="410">
      <c r="D410" s="18"/>
      <c r="E410" s="18"/>
      <c r="I410" s="9"/>
    </row>
    <row r="411">
      <c r="D411" s="18"/>
      <c r="E411" s="18"/>
      <c r="I411" s="9"/>
    </row>
    <row r="412">
      <c r="D412" s="18"/>
      <c r="E412" s="18"/>
      <c r="I412" s="9"/>
    </row>
    <row r="413">
      <c r="D413" s="18"/>
      <c r="E413" s="18"/>
      <c r="I413" s="9"/>
    </row>
    <row r="414">
      <c r="D414" s="18"/>
      <c r="E414" s="18"/>
      <c r="I414" s="9"/>
    </row>
    <row r="415">
      <c r="D415" s="18"/>
      <c r="E415" s="18"/>
      <c r="I415" s="9"/>
    </row>
    <row r="416">
      <c r="D416" s="18"/>
      <c r="E416" s="18"/>
      <c r="I416" s="9"/>
    </row>
    <row r="417">
      <c r="D417" s="18"/>
      <c r="E417" s="18"/>
      <c r="I417" s="9"/>
    </row>
    <row r="418">
      <c r="D418" s="18"/>
      <c r="E418" s="18"/>
      <c r="I418" s="9"/>
    </row>
    <row r="419">
      <c r="D419" s="18"/>
      <c r="E419" s="18"/>
      <c r="I419" s="9"/>
    </row>
    <row r="420">
      <c r="D420" s="18"/>
      <c r="E420" s="18"/>
      <c r="I420" s="9"/>
    </row>
    <row r="421">
      <c r="D421" s="18"/>
      <c r="E421" s="18"/>
      <c r="I421" s="9"/>
    </row>
    <row r="422">
      <c r="D422" s="18"/>
      <c r="E422" s="18"/>
      <c r="I422" s="9"/>
    </row>
    <row r="423">
      <c r="D423" s="18"/>
      <c r="E423" s="18"/>
      <c r="I423" s="9"/>
    </row>
    <row r="424">
      <c r="D424" s="18"/>
      <c r="E424" s="18"/>
      <c r="I424" s="9"/>
    </row>
    <row r="425">
      <c r="D425" s="18"/>
      <c r="E425" s="18"/>
      <c r="I425" s="9"/>
    </row>
    <row r="426">
      <c r="D426" s="18"/>
      <c r="E426" s="18"/>
      <c r="I426" s="9"/>
    </row>
    <row r="427">
      <c r="D427" s="18"/>
      <c r="E427" s="18"/>
      <c r="I427" s="9"/>
    </row>
    <row r="428">
      <c r="D428" s="18"/>
      <c r="E428" s="18"/>
      <c r="I428" s="9"/>
    </row>
    <row r="429">
      <c r="D429" s="18"/>
      <c r="E429" s="18"/>
      <c r="I429" s="9"/>
    </row>
    <row r="430">
      <c r="D430" s="18"/>
      <c r="E430" s="18"/>
      <c r="I430" s="9"/>
    </row>
    <row r="431">
      <c r="D431" s="18"/>
      <c r="E431" s="18"/>
      <c r="I431" s="9"/>
    </row>
    <row r="432">
      <c r="D432" s="18"/>
      <c r="E432" s="18"/>
      <c r="I432" s="9"/>
    </row>
    <row r="433">
      <c r="D433" s="18"/>
      <c r="E433" s="18"/>
      <c r="I433" s="9"/>
    </row>
    <row r="434">
      <c r="D434" s="18"/>
      <c r="E434" s="18"/>
      <c r="I434" s="9"/>
    </row>
    <row r="435">
      <c r="D435" s="18"/>
      <c r="E435" s="18"/>
      <c r="I435" s="9"/>
    </row>
    <row r="436">
      <c r="D436" s="18"/>
      <c r="E436" s="18"/>
      <c r="I436" s="9"/>
    </row>
    <row r="437">
      <c r="D437" s="18"/>
      <c r="E437" s="18"/>
      <c r="I437" s="9"/>
    </row>
    <row r="438">
      <c r="D438" s="18"/>
      <c r="E438" s="18"/>
      <c r="I438" s="9"/>
    </row>
    <row r="439">
      <c r="D439" s="18"/>
      <c r="E439" s="18"/>
      <c r="I439" s="9"/>
    </row>
    <row r="440">
      <c r="D440" s="18"/>
      <c r="E440" s="18"/>
      <c r="I440" s="9"/>
    </row>
    <row r="441">
      <c r="D441" s="18"/>
      <c r="E441" s="18"/>
      <c r="I441" s="9"/>
    </row>
    <row r="442">
      <c r="D442" s="18"/>
      <c r="E442" s="18"/>
      <c r="I442" s="9"/>
    </row>
    <row r="443">
      <c r="D443" s="18"/>
      <c r="E443" s="18"/>
      <c r="I443" s="9"/>
    </row>
    <row r="444">
      <c r="D444" s="18"/>
      <c r="E444" s="18"/>
      <c r="I444" s="9"/>
    </row>
    <row r="445">
      <c r="D445" s="18"/>
      <c r="E445" s="18"/>
      <c r="I445" s="9"/>
    </row>
    <row r="446">
      <c r="D446" s="18"/>
      <c r="E446" s="18"/>
      <c r="I446" s="9"/>
    </row>
    <row r="447">
      <c r="D447" s="18"/>
      <c r="E447" s="18"/>
      <c r="I447" s="9"/>
    </row>
    <row r="448">
      <c r="D448" s="18"/>
      <c r="E448" s="18"/>
      <c r="I448" s="9"/>
    </row>
    <row r="449">
      <c r="D449" s="18"/>
      <c r="E449" s="18"/>
      <c r="I449" s="9"/>
    </row>
    <row r="450">
      <c r="D450" s="18"/>
      <c r="E450" s="18"/>
      <c r="I450" s="9"/>
    </row>
    <row r="451">
      <c r="D451" s="18"/>
      <c r="E451" s="18"/>
      <c r="I451" s="9"/>
    </row>
    <row r="452">
      <c r="D452" s="18"/>
      <c r="E452" s="18"/>
      <c r="I452" s="9"/>
    </row>
    <row r="453">
      <c r="D453" s="18"/>
      <c r="E453" s="18"/>
      <c r="I453" s="9"/>
    </row>
    <row r="454">
      <c r="D454" s="18"/>
      <c r="E454" s="18"/>
      <c r="I454" s="9"/>
    </row>
    <row r="455">
      <c r="D455" s="18"/>
      <c r="E455" s="18"/>
      <c r="I455" s="9"/>
    </row>
    <row r="456">
      <c r="D456" s="18"/>
      <c r="E456" s="18"/>
      <c r="I456" s="9"/>
    </row>
    <row r="457">
      <c r="D457" s="18"/>
      <c r="E457" s="18"/>
      <c r="I457" s="9"/>
    </row>
    <row r="458">
      <c r="D458" s="18"/>
      <c r="E458" s="18"/>
      <c r="I458" s="9"/>
    </row>
    <row r="459">
      <c r="D459" s="18"/>
      <c r="E459" s="18"/>
      <c r="I459" s="9"/>
    </row>
    <row r="460">
      <c r="D460" s="18"/>
      <c r="E460" s="18"/>
      <c r="I460" s="9"/>
    </row>
    <row r="461">
      <c r="D461" s="18"/>
      <c r="E461" s="18"/>
      <c r="I461" s="9"/>
    </row>
    <row r="462">
      <c r="D462" s="18"/>
      <c r="E462" s="18"/>
      <c r="I462" s="9"/>
    </row>
    <row r="463">
      <c r="D463" s="18"/>
      <c r="E463" s="18"/>
      <c r="I463" s="9"/>
    </row>
    <row r="464">
      <c r="D464" s="18"/>
      <c r="E464" s="18"/>
      <c r="I464" s="9"/>
    </row>
    <row r="465">
      <c r="D465" s="18"/>
      <c r="E465" s="18"/>
      <c r="I465" s="9"/>
    </row>
    <row r="466">
      <c r="D466" s="18"/>
      <c r="E466" s="18"/>
      <c r="I466" s="9"/>
    </row>
    <row r="467">
      <c r="D467" s="18"/>
      <c r="E467" s="18"/>
      <c r="I467" s="9"/>
    </row>
    <row r="468">
      <c r="D468" s="18"/>
      <c r="E468" s="18"/>
      <c r="I468" s="9"/>
    </row>
    <row r="469">
      <c r="D469" s="18"/>
      <c r="E469" s="18"/>
      <c r="I469" s="9"/>
    </row>
    <row r="470">
      <c r="D470" s="18"/>
      <c r="E470" s="18"/>
      <c r="I470" s="9"/>
    </row>
    <row r="471">
      <c r="D471" s="18"/>
      <c r="E471" s="18"/>
      <c r="I471" s="9"/>
    </row>
    <row r="472">
      <c r="D472" s="18"/>
      <c r="E472" s="18"/>
      <c r="I472" s="9"/>
    </row>
    <row r="473">
      <c r="D473" s="18"/>
      <c r="E473" s="18"/>
      <c r="I473" s="9"/>
    </row>
    <row r="474">
      <c r="D474" s="18"/>
      <c r="E474" s="18"/>
      <c r="I474" s="9"/>
    </row>
    <row r="475">
      <c r="D475" s="18"/>
      <c r="E475" s="18"/>
      <c r="I475" s="9"/>
    </row>
    <row r="476">
      <c r="D476" s="18"/>
      <c r="E476" s="18"/>
      <c r="I476" s="9"/>
    </row>
    <row r="477">
      <c r="D477" s="18"/>
      <c r="E477" s="18"/>
      <c r="I477" s="9"/>
    </row>
    <row r="478">
      <c r="D478" s="18"/>
      <c r="E478" s="18"/>
      <c r="I478" s="9"/>
    </row>
    <row r="479">
      <c r="D479" s="18"/>
      <c r="E479" s="18"/>
      <c r="I479" s="9"/>
    </row>
    <row r="480">
      <c r="D480" s="18"/>
      <c r="E480" s="18"/>
      <c r="I480" s="9"/>
    </row>
    <row r="481">
      <c r="D481" s="18"/>
      <c r="E481" s="18"/>
      <c r="I481" s="9"/>
    </row>
    <row r="482">
      <c r="D482" s="18"/>
      <c r="E482" s="18"/>
      <c r="I482" s="9"/>
    </row>
    <row r="483">
      <c r="D483" s="18"/>
      <c r="E483" s="18"/>
      <c r="I483" s="9"/>
    </row>
    <row r="484">
      <c r="D484" s="18"/>
      <c r="E484" s="18"/>
      <c r="I484" s="9"/>
    </row>
    <row r="485">
      <c r="D485" s="18"/>
      <c r="E485" s="18"/>
      <c r="I485" s="9"/>
    </row>
    <row r="486">
      <c r="D486" s="18"/>
      <c r="E486" s="18"/>
      <c r="I486" s="9"/>
    </row>
    <row r="487">
      <c r="D487" s="18"/>
      <c r="E487" s="18"/>
      <c r="I487" s="9"/>
    </row>
    <row r="488">
      <c r="D488" s="18"/>
      <c r="E488" s="18"/>
      <c r="I488" s="9"/>
    </row>
    <row r="489">
      <c r="D489" s="18"/>
      <c r="E489" s="18"/>
      <c r="I489" s="9"/>
    </row>
    <row r="490">
      <c r="D490" s="18"/>
      <c r="E490" s="18"/>
      <c r="I490" s="9"/>
    </row>
    <row r="491">
      <c r="D491" s="18"/>
      <c r="E491" s="18"/>
      <c r="I491" s="9"/>
    </row>
    <row r="492">
      <c r="D492" s="18"/>
      <c r="E492" s="18"/>
      <c r="I492" s="9"/>
    </row>
    <row r="493">
      <c r="D493" s="18"/>
      <c r="E493" s="18"/>
      <c r="I493" s="9"/>
    </row>
    <row r="494">
      <c r="D494" s="18"/>
      <c r="E494" s="18"/>
      <c r="I494" s="9"/>
    </row>
    <row r="495">
      <c r="D495" s="18"/>
      <c r="E495" s="18"/>
      <c r="I495" s="9"/>
    </row>
    <row r="496">
      <c r="D496" s="18"/>
      <c r="E496" s="18"/>
      <c r="I496" s="9"/>
    </row>
    <row r="497">
      <c r="D497" s="18"/>
      <c r="E497" s="18"/>
      <c r="I497" s="9"/>
    </row>
    <row r="498">
      <c r="D498" s="18"/>
      <c r="E498" s="18"/>
      <c r="I498" s="9"/>
    </row>
    <row r="499">
      <c r="D499" s="18"/>
      <c r="E499" s="18"/>
      <c r="I499" s="9"/>
    </row>
    <row r="500">
      <c r="D500" s="18"/>
      <c r="E500" s="18"/>
      <c r="I500" s="9"/>
    </row>
    <row r="501">
      <c r="D501" s="18"/>
      <c r="E501" s="18"/>
      <c r="I501" s="9"/>
    </row>
    <row r="502">
      <c r="D502" s="18"/>
      <c r="E502" s="18"/>
      <c r="I502" s="9"/>
    </row>
    <row r="503">
      <c r="D503" s="18"/>
      <c r="E503" s="18"/>
      <c r="I503" s="9"/>
    </row>
    <row r="504">
      <c r="D504" s="18"/>
      <c r="E504" s="18"/>
      <c r="I504" s="9"/>
    </row>
    <row r="505">
      <c r="D505" s="18"/>
      <c r="E505" s="18"/>
      <c r="I505" s="9"/>
    </row>
    <row r="506">
      <c r="D506" s="18"/>
      <c r="E506" s="18"/>
      <c r="I506" s="9"/>
    </row>
    <row r="507">
      <c r="D507" s="18"/>
      <c r="E507" s="18"/>
      <c r="I507" s="9"/>
    </row>
    <row r="508">
      <c r="D508" s="18"/>
      <c r="E508" s="18"/>
      <c r="I508" s="9"/>
    </row>
    <row r="509">
      <c r="D509" s="18"/>
      <c r="E509" s="18"/>
      <c r="I509" s="9"/>
    </row>
    <row r="510">
      <c r="D510" s="18"/>
      <c r="E510" s="18"/>
      <c r="I510" s="9"/>
    </row>
    <row r="511">
      <c r="D511" s="18"/>
      <c r="E511" s="18"/>
      <c r="I511" s="9"/>
    </row>
    <row r="512">
      <c r="D512" s="18"/>
      <c r="E512" s="18"/>
      <c r="I512" s="9"/>
    </row>
    <row r="513">
      <c r="D513" s="18"/>
      <c r="E513" s="18"/>
      <c r="I513" s="9"/>
    </row>
    <row r="514">
      <c r="D514" s="18"/>
      <c r="E514" s="18"/>
      <c r="I514" s="9"/>
    </row>
    <row r="515">
      <c r="D515" s="18"/>
      <c r="E515" s="18"/>
      <c r="I515" s="9"/>
    </row>
    <row r="516">
      <c r="D516" s="18"/>
      <c r="E516" s="18"/>
      <c r="I516" s="9"/>
    </row>
    <row r="517">
      <c r="D517" s="18"/>
      <c r="E517" s="18"/>
      <c r="I517" s="9"/>
    </row>
    <row r="518">
      <c r="D518" s="18"/>
      <c r="E518" s="18"/>
      <c r="I518" s="9"/>
    </row>
    <row r="519">
      <c r="D519" s="18"/>
      <c r="E519" s="18"/>
      <c r="I519" s="9"/>
    </row>
    <row r="520">
      <c r="D520" s="18"/>
      <c r="E520" s="18"/>
      <c r="I520" s="9"/>
    </row>
    <row r="521">
      <c r="D521" s="18"/>
      <c r="E521" s="18"/>
      <c r="I521" s="9"/>
    </row>
    <row r="522">
      <c r="D522" s="18"/>
      <c r="E522" s="18"/>
      <c r="I522" s="9"/>
    </row>
    <row r="523">
      <c r="D523" s="18"/>
      <c r="E523" s="18"/>
      <c r="I523" s="9"/>
    </row>
    <row r="524">
      <c r="D524" s="18"/>
      <c r="E524" s="18"/>
      <c r="I524" s="9"/>
    </row>
    <row r="525">
      <c r="D525" s="18"/>
      <c r="E525" s="18"/>
      <c r="I525" s="9"/>
    </row>
    <row r="526">
      <c r="D526" s="18"/>
      <c r="E526" s="18"/>
      <c r="I526" s="9"/>
    </row>
    <row r="527">
      <c r="D527" s="18"/>
      <c r="E527" s="18"/>
      <c r="I527" s="9"/>
    </row>
    <row r="528">
      <c r="D528" s="18"/>
      <c r="E528" s="18"/>
      <c r="I528" s="9"/>
    </row>
    <row r="529">
      <c r="D529" s="18"/>
      <c r="E529" s="18"/>
      <c r="I529" s="9"/>
    </row>
    <row r="530">
      <c r="D530" s="18"/>
      <c r="E530" s="18"/>
      <c r="I530" s="9"/>
    </row>
    <row r="531">
      <c r="D531" s="18"/>
      <c r="E531" s="18"/>
      <c r="I531" s="9"/>
    </row>
    <row r="532">
      <c r="D532" s="18"/>
      <c r="E532" s="18"/>
      <c r="I532" s="9"/>
    </row>
    <row r="533">
      <c r="D533" s="18"/>
      <c r="E533" s="18"/>
      <c r="I533" s="9"/>
    </row>
    <row r="534">
      <c r="D534" s="18"/>
      <c r="E534" s="18"/>
      <c r="I534" s="9"/>
    </row>
    <row r="535">
      <c r="D535" s="18"/>
      <c r="E535" s="18"/>
      <c r="I535" s="9"/>
    </row>
    <row r="536">
      <c r="D536" s="18"/>
      <c r="E536" s="18"/>
      <c r="I536" s="9"/>
    </row>
    <row r="537">
      <c r="D537" s="18"/>
      <c r="E537" s="18"/>
      <c r="I537" s="9"/>
    </row>
    <row r="538">
      <c r="D538" s="18"/>
      <c r="E538" s="18"/>
      <c r="I538" s="9"/>
    </row>
    <row r="539">
      <c r="D539" s="18"/>
      <c r="E539" s="18"/>
      <c r="I539" s="9"/>
    </row>
    <row r="540">
      <c r="D540" s="18"/>
      <c r="E540" s="18"/>
      <c r="I540" s="9"/>
    </row>
    <row r="541">
      <c r="D541" s="18"/>
      <c r="E541" s="18"/>
      <c r="I541" s="9"/>
    </row>
    <row r="542">
      <c r="D542" s="18"/>
      <c r="E542" s="18"/>
      <c r="I542" s="9"/>
    </row>
    <row r="543">
      <c r="D543" s="18"/>
      <c r="E543" s="18"/>
      <c r="I543" s="9"/>
    </row>
    <row r="544">
      <c r="D544" s="18"/>
      <c r="E544" s="18"/>
      <c r="I544" s="9"/>
    </row>
    <row r="545">
      <c r="D545" s="18"/>
      <c r="E545" s="18"/>
      <c r="I545" s="9"/>
    </row>
    <row r="546">
      <c r="D546" s="18"/>
      <c r="E546" s="18"/>
      <c r="I546" s="9"/>
    </row>
    <row r="547">
      <c r="D547" s="18"/>
      <c r="E547" s="18"/>
      <c r="I547" s="9"/>
    </row>
    <row r="548">
      <c r="D548" s="18"/>
      <c r="E548" s="18"/>
      <c r="I548" s="9"/>
    </row>
    <row r="549">
      <c r="D549" s="18"/>
      <c r="E549" s="18"/>
      <c r="I549" s="9"/>
    </row>
    <row r="550">
      <c r="D550" s="18"/>
      <c r="E550" s="18"/>
      <c r="I550" s="9"/>
    </row>
    <row r="551">
      <c r="D551" s="18"/>
      <c r="E551" s="18"/>
      <c r="I551" s="9"/>
    </row>
    <row r="552">
      <c r="D552" s="18"/>
      <c r="E552" s="18"/>
      <c r="I552" s="9"/>
    </row>
    <row r="553">
      <c r="D553" s="18"/>
      <c r="E553" s="18"/>
      <c r="I553" s="9"/>
    </row>
    <row r="554">
      <c r="D554" s="18"/>
      <c r="E554" s="18"/>
      <c r="I554" s="9"/>
    </row>
    <row r="555">
      <c r="D555" s="18"/>
      <c r="E555" s="18"/>
      <c r="I555" s="9"/>
    </row>
    <row r="556">
      <c r="D556" s="18"/>
      <c r="E556" s="18"/>
      <c r="I556" s="9"/>
    </row>
    <row r="557">
      <c r="D557" s="18"/>
      <c r="E557" s="18"/>
      <c r="I557" s="9"/>
    </row>
    <row r="558">
      <c r="D558" s="18"/>
      <c r="E558" s="18"/>
      <c r="I558" s="9"/>
    </row>
    <row r="559">
      <c r="D559" s="18"/>
      <c r="E559" s="18"/>
      <c r="I559" s="9"/>
    </row>
    <row r="560">
      <c r="D560" s="18"/>
      <c r="E560" s="18"/>
      <c r="I560" s="9"/>
    </row>
    <row r="561">
      <c r="D561" s="18"/>
      <c r="E561" s="18"/>
      <c r="I561" s="9"/>
    </row>
    <row r="562">
      <c r="D562" s="18"/>
      <c r="E562" s="18"/>
      <c r="I562" s="9"/>
    </row>
    <row r="563">
      <c r="D563" s="18"/>
      <c r="E563" s="18"/>
      <c r="I563" s="9"/>
    </row>
    <row r="564">
      <c r="D564" s="18"/>
      <c r="E564" s="18"/>
      <c r="I564" s="9"/>
    </row>
    <row r="565">
      <c r="D565" s="18"/>
      <c r="E565" s="18"/>
      <c r="I565" s="9"/>
    </row>
    <row r="566">
      <c r="D566" s="18"/>
      <c r="E566" s="18"/>
      <c r="I566" s="9"/>
    </row>
    <row r="567">
      <c r="D567" s="18"/>
      <c r="E567" s="18"/>
      <c r="I567" s="9"/>
    </row>
    <row r="568">
      <c r="D568" s="18"/>
      <c r="E568" s="18"/>
      <c r="I568" s="9"/>
    </row>
    <row r="569">
      <c r="D569" s="18"/>
      <c r="E569" s="18"/>
      <c r="I569" s="9"/>
    </row>
    <row r="570">
      <c r="D570" s="18"/>
      <c r="E570" s="18"/>
      <c r="I570" s="9"/>
    </row>
    <row r="571">
      <c r="D571" s="18"/>
      <c r="E571" s="18"/>
      <c r="I571" s="9"/>
    </row>
    <row r="572">
      <c r="D572" s="18"/>
      <c r="E572" s="18"/>
      <c r="I572" s="9"/>
    </row>
    <row r="573">
      <c r="D573" s="18"/>
      <c r="E573" s="18"/>
      <c r="I573" s="9"/>
    </row>
    <row r="574">
      <c r="D574" s="18"/>
      <c r="E574" s="18"/>
      <c r="I574" s="9"/>
    </row>
    <row r="575">
      <c r="D575" s="18"/>
      <c r="E575" s="18"/>
      <c r="I575" s="9"/>
    </row>
    <row r="576">
      <c r="D576" s="18"/>
      <c r="E576" s="18"/>
      <c r="I576" s="9"/>
    </row>
    <row r="577">
      <c r="D577" s="18"/>
      <c r="E577" s="18"/>
      <c r="I577" s="9"/>
    </row>
    <row r="578">
      <c r="D578" s="18"/>
      <c r="E578" s="18"/>
      <c r="I578" s="9"/>
    </row>
    <row r="579">
      <c r="D579" s="18"/>
      <c r="E579" s="18"/>
      <c r="I579" s="9"/>
    </row>
    <row r="580">
      <c r="D580" s="18"/>
      <c r="E580" s="18"/>
      <c r="I580" s="9"/>
    </row>
    <row r="581">
      <c r="D581" s="18"/>
      <c r="E581" s="18"/>
      <c r="I581" s="9"/>
    </row>
    <row r="582">
      <c r="D582" s="18"/>
      <c r="E582" s="18"/>
      <c r="I582" s="9"/>
    </row>
    <row r="583">
      <c r="D583" s="18"/>
      <c r="E583" s="18"/>
      <c r="I583" s="9"/>
    </row>
    <row r="584">
      <c r="D584" s="18"/>
      <c r="E584" s="18"/>
      <c r="I584" s="9"/>
    </row>
    <row r="585">
      <c r="D585" s="18"/>
      <c r="E585" s="18"/>
      <c r="I585" s="9"/>
    </row>
    <row r="586">
      <c r="D586" s="18"/>
      <c r="E586" s="18"/>
      <c r="I586" s="9"/>
    </row>
    <row r="587">
      <c r="D587" s="18"/>
      <c r="E587" s="18"/>
      <c r="I587" s="9"/>
    </row>
    <row r="588">
      <c r="D588" s="18"/>
      <c r="E588" s="18"/>
      <c r="I588" s="9"/>
    </row>
    <row r="589">
      <c r="D589" s="18"/>
      <c r="E589" s="18"/>
      <c r="I589" s="9"/>
    </row>
    <row r="590">
      <c r="D590" s="18"/>
      <c r="E590" s="18"/>
      <c r="I590" s="9"/>
    </row>
    <row r="591">
      <c r="D591" s="18"/>
      <c r="E591" s="18"/>
      <c r="I591" s="9"/>
    </row>
    <row r="592">
      <c r="D592" s="18"/>
      <c r="E592" s="18"/>
      <c r="I592" s="9"/>
    </row>
    <row r="593">
      <c r="D593" s="18"/>
      <c r="E593" s="18"/>
      <c r="I593" s="9"/>
    </row>
    <row r="594">
      <c r="D594" s="18"/>
      <c r="E594" s="18"/>
      <c r="I594" s="9"/>
    </row>
    <row r="595">
      <c r="D595" s="18"/>
      <c r="E595" s="18"/>
      <c r="I595" s="9"/>
    </row>
    <row r="596">
      <c r="D596" s="18"/>
      <c r="E596" s="18"/>
      <c r="I596" s="9"/>
    </row>
    <row r="597">
      <c r="D597" s="18"/>
      <c r="E597" s="18"/>
      <c r="I597" s="9"/>
    </row>
    <row r="598">
      <c r="D598" s="18"/>
      <c r="E598" s="18"/>
      <c r="I598" s="9"/>
    </row>
    <row r="599">
      <c r="D599" s="18"/>
      <c r="E599" s="18"/>
      <c r="I599" s="9"/>
    </row>
    <row r="600">
      <c r="D600" s="18"/>
      <c r="E600" s="18"/>
      <c r="I600" s="9"/>
    </row>
    <row r="601">
      <c r="D601" s="18"/>
      <c r="E601" s="18"/>
      <c r="I601" s="9"/>
    </row>
    <row r="602">
      <c r="D602" s="18"/>
      <c r="E602" s="18"/>
      <c r="I602" s="9"/>
    </row>
    <row r="603">
      <c r="D603" s="18"/>
      <c r="E603" s="18"/>
      <c r="I603" s="9"/>
    </row>
    <row r="604">
      <c r="D604" s="18"/>
      <c r="E604" s="18"/>
      <c r="I604" s="9"/>
    </row>
    <row r="605">
      <c r="D605" s="18"/>
      <c r="E605" s="18"/>
      <c r="I605" s="9"/>
    </row>
    <row r="606">
      <c r="D606" s="18"/>
      <c r="E606" s="18"/>
      <c r="I606" s="9"/>
    </row>
    <row r="607">
      <c r="D607" s="18"/>
      <c r="E607" s="18"/>
      <c r="I607" s="9"/>
    </row>
    <row r="608">
      <c r="D608" s="18"/>
      <c r="E608" s="18"/>
      <c r="I608" s="9"/>
    </row>
    <row r="609">
      <c r="D609" s="18"/>
      <c r="E609" s="18"/>
      <c r="I609" s="9"/>
    </row>
    <row r="610">
      <c r="D610" s="18"/>
      <c r="E610" s="18"/>
      <c r="I610" s="9"/>
    </row>
    <row r="611">
      <c r="D611" s="18"/>
      <c r="E611" s="18"/>
      <c r="I611" s="9"/>
    </row>
    <row r="612">
      <c r="D612" s="18"/>
      <c r="E612" s="18"/>
      <c r="I612" s="9"/>
    </row>
    <row r="613">
      <c r="D613" s="18"/>
      <c r="E613" s="18"/>
      <c r="I613" s="9"/>
    </row>
    <row r="614">
      <c r="D614" s="18"/>
      <c r="E614" s="18"/>
      <c r="I614" s="9"/>
    </row>
    <row r="615">
      <c r="D615" s="18"/>
      <c r="E615" s="18"/>
      <c r="I615" s="9"/>
    </row>
    <row r="616">
      <c r="D616" s="18"/>
      <c r="E616" s="18"/>
      <c r="I616" s="9"/>
    </row>
    <row r="617">
      <c r="D617" s="18"/>
      <c r="E617" s="18"/>
      <c r="I617" s="9"/>
    </row>
    <row r="618">
      <c r="D618" s="18"/>
      <c r="E618" s="18"/>
      <c r="I618" s="9"/>
    </row>
    <row r="619">
      <c r="D619" s="18"/>
      <c r="E619" s="18"/>
      <c r="I619" s="9"/>
    </row>
    <row r="620">
      <c r="D620" s="18"/>
      <c r="E620" s="18"/>
      <c r="I620" s="9"/>
    </row>
    <row r="621">
      <c r="D621" s="18"/>
      <c r="E621" s="18"/>
      <c r="I621" s="9"/>
    </row>
    <row r="622">
      <c r="D622" s="18"/>
      <c r="E622" s="18"/>
      <c r="I622" s="9"/>
    </row>
    <row r="623">
      <c r="D623" s="18"/>
      <c r="E623" s="18"/>
      <c r="I623" s="9"/>
    </row>
    <row r="624">
      <c r="D624" s="18"/>
      <c r="E624" s="18"/>
      <c r="I624" s="9"/>
    </row>
    <row r="625">
      <c r="D625" s="18"/>
      <c r="E625" s="18"/>
      <c r="I625" s="9"/>
    </row>
    <row r="626">
      <c r="D626" s="18"/>
      <c r="E626" s="18"/>
      <c r="I626" s="9"/>
    </row>
    <row r="627">
      <c r="D627" s="18"/>
      <c r="E627" s="18"/>
      <c r="I627" s="9"/>
    </row>
    <row r="628">
      <c r="D628" s="18"/>
      <c r="E628" s="18"/>
      <c r="I628" s="9"/>
    </row>
    <row r="629">
      <c r="D629" s="18"/>
      <c r="E629" s="18"/>
      <c r="I629" s="9"/>
    </row>
    <row r="630">
      <c r="D630" s="18"/>
      <c r="E630" s="18"/>
      <c r="I630" s="9"/>
    </row>
    <row r="631">
      <c r="D631" s="18"/>
      <c r="E631" s="18"/>
      <c r="I631" s="9"/>
    </row>
    <row r="632">
      <c r="D632" s="18"/>
      <c r="E632" s="18"/>
      <c r="I632" s="9"/>
    </row>
    <row r="633">
      <c r="D633" s="18"/>
      <c r="E633" s="18"/>
      <c r="I633" s="9"/>
    </row>
    <row r="634">
      <c r="D634" s="18"/>
      <c r="E634" s="18"/>
      <c r="I634" s="9"/>
    </row>
    <row r="635">
      <c r="D635" s="18"/>
      <c r="E635" s="18"/>
      <c r="I635" s="9"/>
    </row>
    <row r="636">
      <c r="D636" s="18"/>
      <c r="E636" s="18"/>
      <c r="I636" s="9"/>
    </row>
    <row r="637">
      <c r="D637" s="18"/>
      <c r="E637" s="18"/>
      <c r="I637" s="9"/>
    </row>
    <row r="638">
      <c r="D638" s="18"/>
      <c r="E638" s="18"/>
      <c r="I638" s="9"/>
    </row>
    <row r="639">
      <c r="D639" s="18"/>
      <c r="E639" s="18"/>
      <c r="I639" s="9"/>
    </row>
    <row r="640">
      <c r="D640" s="18"/>
      <c r="E640" s="18"/>
      <c r="I640" s="9"/>
    </row>
    <row r="641">
      <c r="D641" s="18"/>
      <c r="E641" s="18"/>
      <c r="I641" s="9"/>
    </row>
    <row r="642">
      <c r="D642" s="18"/>
      <c r="E642" s="18"/>
      <c r="I642" s="9"/>
    </row>
    <row r="643">
      <c r="D643" s="18"/>
      <c r="E643" s="18"/>
      <c r="I643" s="9"/>
    </row>
    <row r="644">
      <c r="D644" s="18"/>
      <c r="E644" s="18"/>
      <c r="I644" s="9"/>
    </row>
    <row r="645">
      <c r="D645" s="18"/>
      <c r="E645" s="18"/>
      <c r="I645" s="9"/>
    </row>
    <row r="646">
      <c r="D646" s="18"/>
      <c r="E646" s="18"/>
      <c r="I646" s="9"/>
    </row>
    <row r="647">
      <c r="D647" s="18"/>
      <c r="E647" s="18"/>
      <c r="I647" s="9"/>
    </row>
    <row r="648">
      <c r="D648" s="18"/>
      <c r="E648" s="18"/>
      <c r="I648" s="9"/>
    </row>
    <row r="649">
      <c r="D649" s="18"/>
      <c r="E649" s="18"/>
      <c r="I649" s="9"/>
    </row>
    <row r="650">
      <c r="D650" s="18"/>
      <c r="E650" s="18"/>
      <c r="I650" s="9"/>
    </row>
    <row r="651">
      <c r="D651" s="18"/>
      <c r="E651" s="18"/>
      <c r="I651" s="9"/>
    </row>
    <row r="652">
      <c r="D652" s="18"/>
      <c r="E652" s="18"/>
      <c r="I652" s="9"/>
    </row>
    <row r="653">
      <c r="D653" s="18"/>
      <c r="E653" s="18"/>
      <c r="I653" s="9"/>
    </row>
    <row r="654">
      <c r="D654" s="18"/>
      <c r="E654" s="18"/>
      <c r="I654" s="9"/>
    </row>
    <row r="655">
      <c r="D655" s="18"/>
      <c r="E655" s="18"/>
      <c r="I655" s="9"/>
    </row>
    <row r="656">
      <c r="D656" s="18"/>
      <c r="E656" s="18"/>
      <c r="I656" s="9"/>
    </row>
    <row r="657">
      <c r="D657" s="18"/>
      <c r="E657" s="18"/>
      <c r="I657" s="9"/>
    </row>
    <row r="658">
      <c r="D658" s="18"/>
      <c r="E658" s="18"/>
      <c r="I658" s="9"/>
    </row>
    <row r="659">
      <c r="D659" s="18"/>
      <c r="E659" s="18"/>
      <c r="I659" s="9"/>
    </row>
    <row r="660">
      <c r="D660" s="18"/>
      <c r="E660" s="18"/>
      <c r="I660" s="9"/>
    </row>
    <row r="661">
      <c r="D661" s="18"/>
      <c r="E661" s="18"/>
      <c r="I661" s="9"/>
    </row>
    <row r="662">
      <c r="D662" s="18"/>
      <c r="E662" s="18"/>
      <c r="I662" s="9"/>
    </row>
    <row r="663">
      <c r="D663" s="18"/>
      <c r="E663" s="18"/>
      <c r="I663" s="9"/>
    </row>
    <row r="664">
      <c r="D664" s="18"/>
      <c r="E664" s="18"/>
      <c r="I664" s="9"/>
    </row>
    <row r="665">
      <c r="D665" s="18"/>
      <c r="E665" s="18"/>
      <c r="I665" s="9"/>
    </row>
    <row r="666">
      <c r="D666" s="18"/>
      <c r="E666" s="18"/>
      <c r="I666" s="9"/>
    </row>
    <row r="667">
      <c r="D667" s="18"/>
      <c r="E667" s="18"/>
      <c r="I667" s="9"/>
    </row>
    <row r="668">
      <c r="D668" s="18"/>
      <c r="E668" s="18"/>
      <c r="I668" s="9"/>
    </row>
    <row r="669">
      <c r="D669" s="18"/>
      <c r="E669" s="18"/>
      <c r="I669" s="9"/>
    </row>
    <row r="670">
      <c r="D670" s="18"/>
      <c r="E670" s="18"/>
      <c r="I670" s="9"/>
    </row>
    <row r="671">
      <c r="D671" s="18"/>
      <c r="E671" s="18"/>
      <c r="I671" s="9"/>
    </row>
    <row r="672">
      <c r="D672" s="18"/>
      <c r="E672" s="18"/>
      <c r="I672" s="9"/>
    </row>
    <row r="673">
      <c r="D673" s="18"/>
      <c r="E673" s="18"/>
      <c r="I673" s="9"/>
    </row>
    <row r="674">
      <c r="D674" s="18"/>
      <c r="E674" s="18"/>
      <c r="I674" s="9"/>
    </row>
    <row r="675">
      <c r="D675" s="18"/>
      <c r="E675" s="18"/>
      <c r="I675" s="9"/>
    </row>
    <row r="676">
      <c r="D676" s="18"/>
      <c r="E676" s="18"/>
      <c r="I676" s="9"/>
    </row>
    <row r="677">
      <c r="D677" s="18"/>
      <c r="E677" s="18"/>
      <c r="I677" s="9"/>
    </row>
    <row r="678">
      <c r="D678" s="18"/>
      <c r="E678" s="18"/>
      <c r="I678" s="9"/>
    </row>
    <row r="679">
      <c r="D679" s="18"/>
      <c r="E679" s="18"/>
      <c r="I679" s="9"/>
    </row>
    <row r="680">
      <c r="D680" s="18"/>
      <c r="E680" s="18"/>
      <c r="I680" s="9"/>
    </row>
    <row r="681">
      <c r="D681" s="18"/>
      <c r="E681" s="18"/>
      <c r="I681" s="9"/>
    </row>
    <row r="682">
      <c r="D682" s="18"/>
      <c r="E682" s="18"/>
      <c r="I682" s="9"/>
    </row>
    <row r="683">
      <c r="D683" s="18"/>
      <c r="E683" s="18"/>
      <c r="I683" s="9"/>
    </row>
    <row r="684">
      <c r="D684" s="18"/>
      <c r="E684" s="18"/>
      <c r="I684" s="9"/>
    </row>
    <row r="685">
      <c r="D685" s="18"/>
      <c r="E685" s="18"/>
      <c r="I685" s="9"/>
    </row>
    <row r="686">
      <c r="D686" s="18"/>
      <c r="E686" s="18"/>
      <c r="I686" s="9"/>
    </row>
    <row r="687">
      <c r="D687" s="18"/>
      <c r="E687" s="18"/>
      <c r="I687" s="9"/>
    </row>
    <row r="688">
      <c r="D688" s="18"/>
      <c r="E688" s="18"/>
      <c r="I688" s="9"/>
    </row>
    <row r="689">
      <c r="D689" s="18"/>
      <c r="E689" s="18"/>
      <c r="I689" s="9"/>
    </row>
    <row r="690">
      <c r="D690" s="18"/>
      <c r="E690" s="18"/>
      <c r="I690" s="9"/>
    </row>
    <row r="691">
      <c r="D691" s="18"/>
      <c r="E691" s="18"/>
      <c r="I691" s="9"/>
    </row>
    <row r="692">
      <c r="D692" s="18"/>
      <c r="E692" s="18"/>
      <c r="I692" s="9"/>
    </row>
    <row r="693">
      <c r="D693" s="18"/>
      <c r="E693" s="18"/>
      <c r="I693" s="9"/>
    </row>
    <row r="694">
      <c r="D694" s="18"/>
      <c r="E694" s="18"/>
      <c r="I694" s="9"/>
    </row>
    <row r="695">
      <c r="D695" s="18"/>
      <c r="E695" s="18"/>
      <c r="I695" s="9"/>
    </row>
    <row r="696">
      <c r="D696" s="18"/>
      <c r="E696" s="18"/>
      <c r="I696" s="9"/>
    </row>
    <row r="697">
      <c r="D697" s="18"/>
      <c r="E697" s="18"/>
      <c r="I697" s="9"/>
    </row>
    <row r="698">
      <c r="D698" s="18"/>
      <c r="E698" s="18"/>
      <c r="I698" s="9"/>
    </row>
    <row r="699">
      <c r="D699" s="18"/>
      <c r="E699" s="18"/>
      <c r="I699" s="9"/>
    </row>
    <row r="700">
      <c r="D700" s="18"/>
      <c r="E700" s="18"/>
      <c r="I700" s="9"/>
    </row>
    <row r="701">
      <c r="D701" s="18"/>
      <c r="E701" s="18"/>
      <c r="I701" s="9"/>
    </row>
    <row r="702">
      <c r="D702" s="18"/>
      <c r="E702" s="18"/>
      <c r="I702" s="9"/>
    </row>
    <row r="703">
      <c r="D703" s="18"/>
      <c r="E703" s="18"/>
      <c r="I703" s="9"/>
    </row>
    <row r="704">
      <c r="D704" s="18"/>
      <c r="E704" s="18"/>
      <c r="I704" s="9"/>
    </row>
    <row r="705">
      <c r="D705" s="18"/>
      <c r="E705" s="18"/>
      <c r="I705" s="9"/>
    </row>
    <row r="706">
      <c r="D706" s="18"/>
      <c r="E706" s="18"/>
      <c r="I706" s="9"/>
    </row>
    <row r="707">
      <c r="D707" s="18"/>
      <c r="E707" s="18"/>
      <c r="I707" s="9"/>
    </row>
    <row r="708">
      <c r="D708" s="18"/>
      <c r="E708" s="18"/>
      <c r="I708" s="9"/>
    </row>
    <row r="709">
      <c r="D709" s="18"/>
      <c r="E709" s="18"/>
      <c r="I709" s="9"/>
    </row>
    <row r="710">
      <c r="D710" s="18"/>
      <c r="E710" s="18"/>
      <c r="I710" s="9"/>
    </row>
    <row r="711">
      <c r="D711" s="18"/>
      <c r="E711" s="18"/>
      <c r="I711" s="9"/>
    </row>
    <row r="712">
      <c r="D712" s="18"/>
      <c r="E712" s="18"/>
      <c r="I712" s="9"/>
    </row>
    <row r="713">
      <c r="D713" s="18"/>
      <c r="E713" s="18"/>
      <c r="I713" s="9"/>
    </row>
    <row r="714">
      <c r="D714" s="18"/>
      <c r="E714" s="18"/>
      <c r="I714" s="9"/>
    </row>
    <row r="715">
      <c r="D715" s="18"/>
      <c r="E715" s="18"/>
      <c r="I715" s="9"/>
    </row>
    <row r="716">
      <c r="D716" s="18"/>
      <c r="E716" s="18"/>
      <c r="I716" s="9"/>
    </row>
    <row r="717">
      <c r="D717" s="18"/>
      <c r="E717" s="18"/>
      <c r="I717" s="9"/>
    </row>
    <row r="718">
      <c r="D718" s="18"/>
      <c r="E718" s="18"/>
      <c r="I718" s="9"/>
    </row>
    <row r="719">
      <c r="D719" s="18"/>
      <c r="E719" s="18"/>
      <c r="I719" s="9"/>
    </row>
    <row r="720">
      <c r="D720" s="18"/>
      <c r="E720" s="18"/>
      <c r="I720" s="9"/>
    </row>
    <row r="721">
      <c r="D721" s="18"/>
      <c r="E721" s="18"/>
      <c r="I721" s="9"/>
    </row>
    <row r="722">
      <c r="D722" s="18"/>
      <c r="E722" s="18"/>
      <c r="I722" s="9"/>
    </row>
    <row r="723">
      <c r="D723" s="18"/>
      <c r="E723" s="18"/>
      <c r="I723" s="9"/>
    </row>
    <row r="724">
      <c r="D724" s="18"/>
      <c r="E724" s="18"/>
      <c r="I724" s="9"/>
    </row>
    <row r="725">
      <c r="D725" s="18"/>
      <c r="E725" s="18"/>
      <c r="I725" s="9"/>
    </row>
    <row r="726">
      <c r="D726" s="18"/>
      <c r="E726" s="18"/>
      <c r="I726" s="9"/>
    </row>
    <row r="727">
      <c r="D727" s="18"/>
      <c r="E727" s="18"/>
      <c r="I727" s="9"/>
    </row>
    <row r="728">
      <c r="D728" s="18"/>
      <c r="E728" s="18"/>
      <c r="I728" s="9"/>
    </row>
    <row r="729">
      <c r="D729" s="18"/>
      <c r="E729" s="18"/>
      <c r="I729" s="9"/>
    </row>
    <row r="730">
      <c r="D730" s="18"/>
      <c r="E730" s="18"/>
      <c r="I730" s="9"/>
    </row>
    <row r="731">
      <c r="D731" s="18"/>
      <c r="E731" s="18"/>
      <c r="I731" s="9"/>
    </row>
    <row r="732">
      <c r="D732" s="18"/>
      <c r="E732" s="18"/>
      <c r="I732" s="9"/>
    </row>
    <row r="733">
      <c r="D733" s="18"/>
      <c r="E733" s="18"/>
      <c r="I733" s="9"/>
    </row>
    <row r="734">
      <c r="D734" s="18"/>
      <c r="E734" s="18"/>
      <c r="I734" s="9"/>
    </row>
    <row r="735">
      <c r="D735" s="18"/>
      <c r="E735" s="18"/>
      <c r="I735" s="9"/>
    </row>
    <row r="736">
      <c r="D736" s="18"/>
      <c r="E736" s="18"/>
      <c r="I736" s="9"/>
    </row>
    <row r="737">
      <c r="D737" s="18"/>
      <c r="E737" s="18"/>
      <c r="I737" s="9"/>
    </row>
    <row r="738">
      <c r="D738" s="18"/>
      <c r="E738" s="18"/>
      <c r="I738" s="9"/>
    </row>
    <row r="739">
      <c r="D739" s="18"/>
      <c r="E739" s="18"/>
      <c r="I739" s="9"/>
    </row>
    <row r="740">
      <c r="D740" s="18"/>
      <c r="E740" s="18"/>
      <c r="I740" s="9"/>
    </row>
    <row r="741">
      <c r="D741" s="18"/>
      <c r="E741" s="18"/>
      <c r="I741" s="9"/>
    </row>
    <row r="742">
      <c r="D742" s="18"/>
      <c r="E742" s="18"/>
      <c r="I742" s="9"/>
    </row>
    <row r="743">
      <c r="D743" s="18"/>
      <c r="E743" s="18"/>
      <c r="I743" s="9"/>
    </row>
    <row r="744">
      <c r="D744" s="18"/>
      <c r="E744" s="18"/>
      <c r="I744" s="9"/>
    </row>
    <row r="745">
      <c r="D745" s="18"/>
      <c r="E745" s="18"/>
      <c r="I745" s="9"/>
    </row>
    <row r="746">
      <c r="D746" s="18"/>
      <c r="E746" s="18"/>
      <c r="I746" s="9"/>
    </row>
    <row r="747">
      <c r="D747" s="18"/>
      <c r="E747" s="18"/>
      <c r="I747" s="9"/>
    </row>
    <row r="748">
      <c r="D748" s="18"/>
      <c r="E748" s="18"/>
      <c r="I748" s="9"/>
    </row>
    <row r="749">
      <c r="D749" s="18"/>
      <c r="E749" s="18"/>
      <c r="I749" s="9"/>
    </row>
    <row r="750">
      <c r="D750" s="18"/>
      <c r="E750" s="18"/>
      <c r="I750" s="9"/>
    </row>
    <row r="751">
      <c r="D751" s="18"/>
      <c r="E751" s="18"/>
      <c r="I751" s="9"/>
    </row>
    <row r="752">
      <c r="D752" s="18"/>
      <c r="E752" s="18"/>
      <c r="I752" s="9"/>
    </row>
    <row r="753">
      <c r="D753" s="18"/>
      <c r="E753" s="18"/>
      <c r="I753" s="9"/>
    </row>
    <row r="754">
      <c r="D754" s="18"/>
      <c r="E754" s="18"/>
      <c r="I754" s="9"/>
    </row>
    <row r="755">
      <c r="D755" s="18"/>
      <c r="E755" s="18"/>
      <c r="I755" s="9"/>
    </row>
    <row r="756">
      <c r="D756" s="18"/>
      <c r="E756" s="18"/>
      <c r="I756" s="9"/>
    </row>
    <row r="757">
      <c r="D757" s="18"/>
      <c r="E757" s="18"/>
      <c r="I757" s="9"/>
    </row>
    <row r="758">
      <c r="D758" s="18"/>
      <c r="E758" s="18"/>
      <c r="I758" s="9"/>
    </row>
    <row r="759">
      <c r="D759" s="18"/>
      <c r="E759" s="18"/>
      <c r="I759" s="9"/>
    </row>
    <row r="760">
      <c r="D760" s="18"/>
      <c r="E760" s="18"/>
      <c r="I760" s="9"/>
    </row>
    <row r="761">
      <c r="D761" s="18"/>
      <c r="E761" s="18"/>
      <c r="I761" s="9"/>
    </row>
    <row r="762">
      <c r="D762" s="18"/>
      <c r="E762" s="18"/>
      <c r="I762" s="9"/>
    </row>
    <row r="763">
      <c r="D763" s="18"/>
      <c r="E763" s="18"/>
      <c r="I763" s="9"/>
    </row>
    <row r="764">
      <c r="D764" s="18"/>
      <c r="E764" s="18"/>
      <c r="I764" s="9"/>
    </row>
    <row r="765">
      <c r="D765" s="18"/>
      <c r="E765" s="18"/>
      <c r="I765" s="9"/>
    </row>
    <row r="766">
      <c r="D766" s="18"/>
      <c r="E766" s="18"/>
      <c r="I766" s="9"/>
    </row>
    <row r="767">
      <c r="D767" s="18"/>
      <c r="E767" s="18"/>
      <c r="I767" s="9"/>
    </row>
    <row r="768">
      <c r="D768" s="18"/>
      <c r="E768" s="18"/>
      <c r="I768" s="9"/>
    </row>
    <row r="769">
      <c r="D769" s="18"/>
      <c r="E769" s="18"/>
      <c r="I769" s="9"/>
    </row>
    <row r="770">
      <c r="D770" s="18"/>
      <c r="E770" s="18"/>
      <c r="I770" s="9"/>
    </row>
    <row r="771">
      <c r="D771" s="18"/>
      <c r="E771" s="18"/>
      <c r="I771" s="9"/>
    </row>
    <row r="772">
      <c r="D772" s="18"/>
      <c r="E772" s="18"/>
      <c r="I772" s="9"/>
    </row>
    <row r="773">
      <c r="D773" s="18"/>
      <c r="E773" s="18"/>
      <c r="I773" s="9"/>
    </row>
    <row r="774">
      <c r="D774" s="18"/>
      <c r="E774" s="18"/>
      <c r="I774" s="9"/>
    </row>
    <row r="775">
      <c r="D775" s="18"/>
      <c r="E775" s="18"/>
      <c r="I775" s="9"/>
    </row>
    <row r="776">
      <c r="D776" s="18"/>
      <c r="E776" s="18"/>
      <c r="I776" s="9"/>
    </row>
    <row r="777">
      <c r="D777" s="18"/>
      <c r="E777" s="18"/>
      <c r="I777" s="9"/>
    </row>
    <row r="778">
      <c r="D778" s="18"/>
      <c r="E778" s="18"/>
      <c r="I778" s="9"/>
    </row>
    <row r="779">
      <c r="D779" s="18"/>
      <c r="E779" s="18"/>
      <c r="I779" s="9"/>
    </row>
    <row r="780">
      <c r="D780" s="18"/>
      <c r="E780" s="18"/>
      <c r="I780" s="9"/>
    </row>
    <row r="781">
      <c r="D781" s="18"/>
      <c r="E781" s="18"/>
      <c r="I781" s="9"/>
    </row>
    <row r="782">
      <c r="D782" s="18"/>
      <c r="E782" s="18"/>
      <c r="I782" s="9"/>
    </row>
    <row r="783">
      <c r="D783" s="18"/>
      <c r="E783" s="18"/>
      <c r="I783" s="9"/>
    </row>
    <row r="784">
      <c r="D784" s="18"/>
      <c r="E784" s="18"/>
      <c r="I784" s="9"/>
    </row>
    <row r="785">
      <c r="D785" s="18"/>
      <c r="E785" s="18"/>
      <c r="I785" s="9"/>
    </row>
    <row r="786">
      <c r="D786" s="18"/>
      <c r="E786" s="18"/>
      <c r="I786" s="9"/>
    </row>
    <row r="787">
      <c r="D787" s="18"/>
      <c r="E787" s="18"/>
      <c r="I787" s="9"/>
    </row>
    <row r="788">
      <c r="D788" s="18"/>
      <c r="E788" s="18"/>
      <c r="I788" s="9"/>
    </row>
    <row r="789">
      <c r="D789" s="18"/>
      <c r="E789" s="18"/>
      <c r="I789" s="9"/>
    </row>
    <row r="790">
      <c r="D790" s="18"/>
      <c r="E790" s="18"/>
      <c r="I790" s="9"/>
    </row>
    <row r="791">
      <c r="D791" s="18"/>
      <c r="E791" s="18"/>
      <c r="I791" s="9"/>
    </row>
    <row r="792">
      <c r="D792" s="18"/>
      <c r="E792" s="18"/>
      <c r="I792" s="9"/>
    </row>
    <row r="793">
      <c r="D793" s="18"/>
      <c r="E793" s="18"/>
      <c r="I793" s="9"/>
    </row>
    <row r="794">
      <c r="D794" s="18"/>
      <c r="E794" s="18"/>
      <c r="I794" s="9"/>
    </row>
    <row r="795">
      <c r="D795" s="18"/>
      <c r="E795" s="18"/>
      <c r="I795" s="9"/>
    </row>
    <row r="796">
      <c r="D796" s="18"/>
      <c r="E796" s="18"/>
      <c r="I796" s="9"/>
    </row>
    <row r="797">
      <c r="D797" s="18"/>
      <c r="E797" s="18"/>
      <c r="I797" s="9"/>
    </row>
    <row r="798">
      <c r="D798" s="18"/>
      <c r="E798" s="18"/>
      <c r="I798" s="9"/>
    </row>
    <row r="799">
      <c r="D799" s="18"/>
      <c r="E799" s="18"/>
      <c r="I799" s="9"/>
    </row>
    <row r="800">
      <c r="D800" s="18"/>
      <c r="E800" s="18"/>
      <c r="I800" s="9"/>
    </row>
    <row r="801">
      <c r="D801" s="18"/>
      <c r="E801" s="18"/>
      <c r="I801" s="9"/>
    </row>
    <row r="802">
      <c r="D802" s="18"/>
      <c r="E802" s="18"/>
      <c r="I802" s="9"/>
    </row>
    <row r="803">
      <c r="D803" s="18"/>
      <c r="E803" s="18"/>
      <c r="I803" s="9"/>
    </row>
    <row r="804">
      <c r="D804" s="18"/>
      <c r="E804" s="18"/>
      <c r="I804" s="9"/>
    </row>
    <row r="805">
      <c r="D805" s="18"/>
      <c r="E805" s="18"/>
      <c r="I805" s="9"/>
    </row>
    <row r="806">
      <c r="D806" s="18"/>
      <c r="E806" s="18"/>
      <c r="I806" s="9"/>
    </row>
    <row r="807">
      <c r="D807" s="18"/>
      <c r="E807" s="18"/>
      <c r="I807" s="9"/>
    </row>
    <row r="808">
      <c r="D808" s="18"/>
      <c r="E808" s="18"/>
      <c r="I808" s="9"/>
    </row>
    <row r="809">
      <c r="D809" s="18"/>
      <c r="E809" s="18"/>
      <c r="I809" s="9"/>
    </row>
    <row r="810">
      <c r="D810" s="18"/>
      <c r="E810" s="18"/>
      <c r="I810" s="9"/>
    </row>
    <row r="811">
      <c r="D811" s="18"/>
      <c r="E811" s="18"/>
      <c r="I811" s="9"/>
    </row>
    <row r="812">
      <c r="D812" s="18"/>
      <c r="E812" s="18"/>
      <c r="I812" s="9"/>
    </row>
    <row r="813">
      <c r="D813" s="18"/>
      <c r="E813" s="18"/>
      <c r="I813" s="9"/>
    </row>
    <row r="814">
      <c r="D814" s="18"/>
      <c r="E814" s="18"/>
      <c r="I814" s="9"/>
    </row>
    <row r="815">
      <c r="D815" s="18"/>
      <c r="E815" s="18"/>
      <c r="I815" s="9"/>
    </row>
    <row r="816">
      <c r="D816" s="18"/>
      <c r="E816" s="18"/>
      <c r="I816" s="9"/>
    </row>
    <row r="817">
      <c r="D817" s="18"/>
      <c r="E817" s="18"/>
      <c r="I817" s="9"/>
    </row>
    <row r="818">
      <c r="D818" s="18"/>
      <c r="E818" s="18"/>
      <c r="I818" s="9"/>
    </row>
    <row r="819">
      <c r="D819" s="18"/>
      <c r="E819" s="18"/>
      <c r="I819" s="9"/>
    </row>
    <row r="820">
      <c r="D820" s="18"/>
      <c r="E820" s="18"/>
      <c r="I820" s="9"/>
    </row>
    <row r="821">
      <c r="D821" s="18"/>
      <c r="E821" s="18"/>
      <c r="I821" s="9"/>
    </row>
    <row r="822">
      <c r="D822" s="18"/>
      <c r="E822" s="18"/>
      <c r="I822" s="9"/>
    </row>
    <row r="823">
      <c r="D823" s="18"/>
      <c r="E823" s="18"/>
      <c r="I823" s="9"/>
    </row>
    <row r="824">
      <c r="D824" s="18"/>
      <c r="E824" s="18"/>
      <c r="I824" s="9"/>
    </row>
    <row r="825">
      <c r="D825" s="18"/>
      <c r="E825" s="18"/>
      <c r="I825" s="9"/>
    </row>
    <row r="826">
      <c r="D826" s="18"/>
      <c r="E826" s="18"/>
      <c r="I826" s="9"/>
    </row>
    <row r="827">
      <c r="D827" s="18"/>
      <c r="E827" s="18"/>
      <c r="I827" s="9"/>
    </row>
    <row r="828">
      <c r="D828" s="18"/>
      <c r="E828" s="18"/>
      <c r="I828" s="9"/>
    </row>
    <row r="829">
      <c r="D829" s="18"/>
      <c r="E829" s="18"/>
      <c r="I829" s="9"/>
    </row>
    <row r="830">
      <c r="D830" s="18"/>
      <c r="E830" s="18"/>
      <c r="I830" s="9"/>
    </row>
    <row r="831">
      <c r="D831" s="18"/>
      <c r="E831" s="18"/>
      <c r="I831" s="9"/>
    </row>
    <row r="832">
      <c r="D832" s="18"/>
      <c r="E832" s="18"/>
      <c r="I832" s="9"/>
    </row>
    <row r="833">
      <c r="D833" s="18"/>
      <c r="E833" s="18"/>
      <c r="I833" s="9"/>
    </row>
    <row r="834">
      <c r="D834" s="18"/>
      <c r="E834" s="18"/>
      <c r="I834" s="9"/>
    </row>
    <row r="835">
      <c r="D835" s="18"/>
      <c r="E835" s="18"/>
      <c r="I835" s="9"/>
    </row>
    <row r="836">
      <c r="D836" s="18"/>
      <c r="E836" s="18"/>
      <c r="I836" s="9"/>
    </row>
    <row r="837">
      <c r="D837" s="18"/>
      <c r="E837" s="18"/>
      <c r="I837" s="9"/>
    </row>
    <row r="838">
      <c r="D838" s="18"/>
      <c r="E838" s="18"/>
      <c r="I838" s="9"/>
    </row>
    <row r="839">
      <c r="D839" s="18"/>
      <c r="E839" s="18"/>
      <c r="I839" s="9"/>
    </row>
    <row r="840">
      <c r="D840" s="18"/>
      <c r="E840" s="18"/>
      <c r="I840" s="9"/>
    </row>
    <row r="841">
      <c r="D841" s="18"/>
      <c r="E841" s="18"/>
      <c r="I841" s="9"/>
    </row>
    <row r="842">
      <c r="D842" s="18"/>
      <c r="E842" s="18"/>
      <c r="I842" s="9"/>
    </row>
    <row r="843">
      <c r="D843" s="18"/>
      <c r="E843" s="18"/>
      <c r="I843" s="9"/>
    </row>
    <row r="844">
      <c r="D844" s="18"/>
      <c r="E844" s="18"/>
      <c r="I844" s="9"/>
    </row>
    <row r="845">
      <c r="D845" s="18"/>
      <c r="E845" s="18"/>
      <c r="I845" s="9"/>
    </row>
    <row r="846">
      <c r="D846" s="18"/>
      <c r="E846" s="18"/>
      <c r="I846" s="9"/>
    </row>
    <row r="847">
      <c r="D847" s="18"/>
      <c r="E847" s="18"/>
      <c r="I847" s="9"/>
    </row>
    <row r="848">
      <c r="D848" s="18"/>
      <c r="E848" s="18"/>
      <c r="I848" s="9"/>
    </row>
    <row r="849">
      <c r="D849" s="18"/>
      <c r="E849" s="18"/>
      <c r="I849" s="9"/>
    </row>
    <row r="850">
      <c r="D850" s="18"/>
      <c r="E850" s="18"/>
      <c r="I850" s="9"/>
    </row>
    <row r="851">
      <c r="D851" s="18"/>
      <c r="E851" s="18"/>
      <c r="I851" s="9"/>
    </row>
    <row r="852">
      <c r="D852" s="18"/>
      <c r="E852" s="18"/>
      <c r="I852" s="9"/>
    </row>
    <row r="853">
      <c r="D853" s="18"/>
      <c r="E853" s="18"/>
      <c r="I853" s="9"/>
    </row>
    <row r="854">
      <c r="D854" s="18"/>
      <c r="E854" s="18"/>
      <c r="I854" s="9"/>
    </row>
    <row r="855">
      <c r="D855" s="18"/>
      <c r="E855" s="18"/>
      <c r="I855" s="9"/>
    </row>
    <row r="856">
      <c r="D856" s="18"/>
      <c r="E856" s="18"/>
      <c r="I856" s="9"/>
    </row>
    <row r="857">
      <c r="D857" s="18"/>
      <c r="E857" s="18"/>
      <c r="I857" s="9"/>
    </row>
    <row r="858">
      <c r="D858" s="18"/>
      <c r="E858" s="18"/>
      <c r="I858" s="9"/>
    </row>
    <row r="859">
      <c r="D859" s="18"/>
      <c r="E859" s="18"/>
      <c r="I859" s="9"/>
    </row>
    <row r="860">
      <c r="D860" s="18"/>
      <c r="E860" s="18"/>
      <c r="I860" s="9"/>
    </row>
    <row r="861">
      <c r="D861" s="18"/>
      <c r="E861" s="18"/>
      <c r="I861" s="9"/>
    </row>
    <row r="862">
      <c r="D862" s="18"/>
      <c r="E862" s="18"/>
      <c r="I862" s="9"/>
    </row>
    <row r="863">
      <c r="D863" s="18"/>
      <c r="E863" s="18"/>
      <c r="I863" s="9"/>
    </row>
    <row r="864">
      <c r="D864" s="18"/>
      <c r="E864" s="18"/>
      <c r="I864" s="9"/>
    </row>
    <row r="865">
      <c r="D865" s="18"/>
      <c r="E865" s="18"/>
      <c r="I865" s="9"/>
    </row>
    <row r="866">
      <c r="D866" s="18"/>
      <c r="E866" s="18"/>
      <c r="I866" s="9"/>
    </row>
    <row r="867">
      <c r="D867" s="18"/>
      <c r="E867" s="18"/>
      <c r="I867" s="9"/>
    </row>
    <row r="868">
      <c r="D868" s="18"/>
      <c r="E868" s="18"/>
      <c r="I868" s="9"/>
    </row>
    <row r="869">
      <c r="D869" s="18"/>
      <c r="E869" s="18"/>
      <c r="I869" s="9"/>
    </row>
    <row r="870">
      <c r="D870" s="18"/>
      <c r="E870" s="18"/>
      <c r="I870" s="9"/>
    </row>
    <row r="871">
      <c r="D871" s="18"/>
      <c r="E871" s="18"/>
      <c r="I871" s="9"/>
    </row>
    <row r="872">
      <c r="D872" s="18"/>
      <c r="E872" s="18"/>
      <c r="I872" s="9"/>
    </row>
    <row r="873">
      <c r="D873" s="18"/>
      <c r="E873" s="18"/>
      <c r="I873" s="9"/>
    </row>
    <row r="874">
      <c r="D874" s="18"/>
      <c r="E874" s="18"/>
      <c r="I874" s="9"/>
    </row>
    <row r="875">
      <c r="D875" s="18"/>
      <c r="E875" s="18"/>
      <c r="I875" s="9"/>
    </row>
    <row r="876">
      <c r="D876" s="18"/>
      <c r="E876" s="18"/>
      <c r="I876" s="9"/>
    </row>
    <row r="877">
      <c r="D877" s="18"/>
      <c r="E877" s="18"/>
      <c r="I877" s="9"/>
    </row>
    <row r="878">
      <c r="D878" s="18"/>
      <c r="E878" s="18"/>
      <c r="I878" s="9"/>
    </row>
    <row r="879">
      <c r="D879" s="18"/>
      <c r="E879" s="18"/>
      <c r="I879" s="9"/>
    </row>
    <row r="880">
      <c r="D880" s="18"/>
      <c r="E880" s="18"/>
      <c r="I880" s="9"/>
    </row>
    <row r="881">
      <c r="D881" s="18"/>
      <c r="E881" s="18"/>
      <c r="I881" s="9"/>
    </row>
    <row r="882">
      <c r="D882" s="18"/>
      <c r="E882" s="18"/>
      <c r="I882" s="9"/>
    </row>
    <row r="883">
      <c r="D883" s="18"/>
      <c r="E883" s="18"/>
      <c r="I883" s="9"/>
    </row>
    <row r="884">
      <c r="D884" s="18"/>
      <c r="E884" s="18"/>
      <c r="I884" s="9"/>
    </row>
    <row r="885">
      <c r="D885" s="18"/>
      <c r="E885" s="18"/>
      <c r="I885" s="9"/>
    </row>
    <row r="886">
      <c r="D886" s="18"/>
      <c r="E886" s="18"/>
      <c r="I886" s="9"/>
    </row>
    <row r="887">
      <c r="D887" s="18"/>
      <c r="E887" s="18"/>
      <c r="I887" s="9"/>
    </row>
    <row r="888">
      <c r="D888" s="18"/>
      <c r="E888" s="18"/>
      <c r="I888" s="9"/>
    </row>
    <row r="889">
      <c r="D889" s="18"/>
      <c r="E889" s="18"/>
      <c r="I889" s="9"/>
    </row>
    <row r="890">
      <c r="D890" s="18"/>
      <c r="E890" s="18"/>
      <c r="I890" s="9"/>
    </row>
    <row r="891">
      <c r="D891" s="18"/>
      <c r="E891" s="18"/>
      <c r="I891" s="9"/>
    </row>
    <row r="892">
      <c r="D892" s="18"/>
      <c r="E892" s="18"/>
      <c r="I892" s="9"/>
    </row>
    <row r="893">
      <c r="D893" s="18"/>
      <c r="E893" s="18"/>
      <c r="I893" s="9"/>
    </row>
    <row r="894">
      <c r="D894" s="18"/>
      <c r="E894" s="18"/>
      <c r="I894" s="9"/>
    </row>
    <row r="895">
      <c r="D895" s="18"/>
      <c r="E895" s="18"/>
      <c r="I895" s="9"/>
    </row>
    <row r="896">
      <c r="D896" s="18"/>
      <c r="E896" s="18"/>
      <c r="I896" s="9"/>
    </row>
    <row r="897">
      <c r="D897" s="18"/>
      <c r="E897" s="18"/>
      <c r="I897" s="9"/>
    </row>
    <row r="898">
      <c r="D898" s="18"/>
      <c r="E898" s="18"/>
      <c r="I898" s="9"/>
    </row>
    <row r="899">
      <c r="D899" s="18"/>
      <c r="E899" s="18"/>
      <c r="I899" s="9"/>
    </row>
    <row r="900">
      <c r="D900" s="18"/>
      <c r="E900" s="18"/>
      <c r="I900" s="9"/>
    </row>
    <row r="901">
      <c r="D901" s="18"/>
      <c r="E901" s="18"/>
      <c r="I901" s="9"/>
    </row>
    <row r="902">
      <c r="D902" s="18"/>
      <c r="E902" s="18"/>
      <c r="I902" s="9"/>
    </row>
    <row r="903">
      <c r="D903" s="18"/>
      <c r="E903" s="18"/>
      <c r="I903" s="9"/>
    </row>
    <row r="904">
      <c r="D904" s="18"/>
      <c r="E904" s="18"/>
      <c r="I904" s="9"/>
    </row>
    <row r="905">
      <c r="D905" s="18"/>
      <c r="E905" s="18"/>
      <c r="I905" s="9"/>
    </row>
    <row r="906">
      <c r="D906" s="18"/>
      <c r="E906" s="18"/>
      <c r="I906" s="9"/>
    </row>
    <row r="907">
      <c r="D907" s="18"/>
      <c r="E907" s="18"/>
      <c r="I907" s="9"/>
    </row>
    <row r="908">
      <c r="D908" s="18"/>
      <c r="E908" s="18"/>
      <c r="I908" s="9"/>
    </row>
    <row r="909">
      <c r="D909" s="18"/>
      <c r="E909" s="18"/>
      <c r="I909" s="9"/>
    </row>
    <row r="910">
      <c r="D910" s="18"/>
      <c r="E910" s="18"/>
      <c r="I910" s="9"/>
    </row>
    <row r="911">
      <c r="D911" s="18"/>
      <c r="E911" s="18"/>
      <c r="I911" s="9"/>
    </row>
    <row r="912">
      <c r="D912" s="18"/>
      <c r="E912" s="18"/>
      <c r="I912" s="9"/>
    </row>
    <row r="913">
      <c r="D913" s="18"/>
      <c r="E913" s="18"/>
      <c r="I913" s="9"/>
    </row>
    <row r="914">
      <c r="D914" s="18"/>
      <c r="E914" s="18"/>
      <c r="I914" s="9"/>
    </row>
    <row r="915">
      <c r="D915" s="18"/>
      <c r="E915" s="18"/>
      <c r="I915" s="9"/>
    </row>
    <row r="916">
      <c r="D916" s="18"/>
      <c r="E916" s="18"/>
      <c r="I916" s="9"/>
    </row>
    <row r="917">
      <c r="D917" s="18"/>
      <c r="E917" s="18"/>
      <c r="I917" s="9"/>
    </row>
    <row r="918">
      <c r="D918" s="18"/>
      <c r="E918" s="18"/>
      <c r="I918" s="9"/>
    </row>
    <row r="919">
      <c r="D919" s="18"/>
      <c r="E919" s="18"/>
      <c r="I919" s="9"/>
    </row>
    <row r="920">
      <c r="D920" s="18"/>
      <c r="E920" s="18"/>
      <c r="I920" s="9"/>
    </row>
    <row r="921">
      <c r="D921" s="18"/>
      <c r="E921" s="18"/>
      <c r="I921" s="9"/>
    </row>
    <row r="922">
      <c r="D922" s="18"/>
      <c r="E922" s="18"/>
      <c r="I922" s="9"/>
    </row>
    <row r="923">
      <c r="D923" s="18"/>
      <c r="E923" s="18"/>
      <c r="I923" s="9"/>
    </row>
    <row r="924">
      <c r="D924" s="18"/>
      <c r="E924" s="18"/>
      <c r="I924" s="9"/>
    </row>
    <row r="925">
      <c r="D925" s="18"/>
      <c r="E925" s="18"/>
      <c r="I925" s="9"/>
    </row>
    <row r="926">
      <c r="D926" s="18"/>
      <c r="E926" s="18"/>
      <c r="I926" s="9"/>
    </row>
    <row r="927">
      <c r="D927" s="18"/>
      <c r="E927" s="18"/>
      <c r="I927" s="9"/>
    </row>
    <row r="928">
      <c r="D928" s="18"/>
      <c r="E928" s="18"/>
      <c r="I928" s="9"/>
    </row>
    <row r="929">
      <c r="D929" s="18"/>
      <c r="E929" s="18"/>
      <c r="I929" s="9"/>
    </row>
    <row r="930">
      <c r="D930" s="18"/>
      <c r="E930" s="18"/>
      <c r="I930" s="9"/>
    </row>
    <row r="931">
      <c r="D931" s="18"/>
      <c r="E931" s="18"/>
      <c r="I931" s="9"/>
    </row>
    <row r="932">
      <c r="D932" s="18"/>
      <c r="E932" s="18"/>
      <c r="I932" s="9"/>
    </row>
    <row r="933">
      <c r="D933" s="18"/>
      <c r="E933" s="18"/>
      <c r="I933" s="9"/>
    </row>
    <row r="934">
      <c r="D934" s="18"/>
      <c r="E934" s="18"/>
      <c r="I934" s="9"/>
    </row>
    <row r="935">
      <c r="D935" s="18"/>
      <c r="E935" s="18"/>
      <c r="I935" s="9"/>
    </row>
    <row r="936">
      <c r="D936" s="18"/>
      <c r="E936" s="18"/>
      <c r="I936" s="9"/>
    </row>
    <row r="937">
      <c r="D937" s="18"/>
      <c r="E937" s="18"/>
      <c r="I937" s="9"/>
    </row>
    <row r="938">
      <c r="D938" s="18"/>
      <c r="E938" s="18"/>
      <c r="I938" s="9"/>
    </row>
    <row r="939">
      <c r="D939" s="18"/>
      <c r="E939" s="18"/>
      <c r="I939" s="9"/>
    </row>
    <row r="940">
      <c r="D940" s="18"/>
      <c r="E940" s="18"/>
      <c r="I940" s="9"/>
    </row>
    <row r="941">
      <c r="D941" s="18"/>
      <c r="E941" s="18"/>
      <c r="I941" s="9"/>
    </row>
    <row r="942">
      <c r="D942" s="18"/>
      <c r="E942" s="18"/>
      <c r="I942" s="9"/>
    </row>
    <row r="943">
      <c r="D943" s="18"/>
      <c r="E943" s="18"/>
      <c r="I943" s="9"/>
    </row>
    <row r="944">
      <c r="D944" s="18"/>
      <c r="E944" s="18"/>
      <c r="I944" s="9"/>
    </row>
    <row r="945">
      <c r="D945" s="18"/>
      <c r="E945" s="18"/>
      <c r="I945" s="9"/>
    </row>
    <row r="946">
      <c r="D946" s="18"/>
      <c r="E946" s="18"/>
      <c r="I946" s="9"/>
    </row>
    <row r="947">
      <c r="D947" s="18"/>
      <c r="E947" s="18"/>
      <c r="I947" s="9"/>
    </row>
    <row r="948">
      <c r="D948" s="18"/>
      <c r="E948" s="18"/>
      <c r="I948" s="9"/>
    </row>
    <row r="949">
      <c r="D949" s="18"/>
      <c r="E949" s="18"/>
      <c r="I949" s="9"/>
    </row>
    <row r="950">
      <c r="D950" s="18"/>
      <c r="E950" s="18"/>
      <c r="I950" s="9"/>
    </row>
    <row r="951">
      <c r="D951" s="18"/>
      <c r="E951" s="18"/>
      <c r="I951" s="9"/>
    </row>
    <row r="952">
      <c r="D952" s="18"/>
      <c r="E952" s="18"/>
      <c r="I952" s="9"/>
    </row>
    <row r="953">
      <c r="D953" s="18"/>
      <c r="E953" s="18"/>
      <c r="I953" s="9"/>
    </row>
    <row r="954">
      <c r="D954" s="18"/>
      <c r="E954" s="18"/>
      <c r="I954" s="9"/>
    </row>
    <row r="955">
      <c r="D955" s="18"/>
      <c r="E955" s="18"/>
      <c r="I955" s="9"/>
    </row>
    <row r="956">
      <c r="D956" s="18"/>
      <c r="E956" s="18"/>
      <c r="I956" s="9"/>
    </row>
    <row r="957">
      <c r="D957" s="18"/>
      <c r="E957" s="18"/>
      <c r="I957" s="9"/>
    </row>
    <row r="958">
      <c r="D958" s="18"/>
      <c r="E958" s="18"/>
      <c r="I958" s="9"/>
    </row>
    <row r="959">
      <c r="D959" s="18"/>
      <c r="E959" s="18"/>
      <c r="I959" s="9"/>
    </row>
    <row r="960">
      <c r="D960" s="18"/>
      <c r="E960" s="18"/>
      <c r="I960" s="9"/>
    </row>
    <row r="961">
      <c r="D961" s="18"/>
      <c r="E961" s="18"/>
      <c r="I961" s="9"/>
    </row>
    <row r="962">
      <c r="D962" s="18"/>
      <c r="E962" s="18"/>
      <c r="I962" s="9"/>
    </row>
    <row r="963">
      <c r="D963" s="18"/>
      <c r="E963" s="18"/>
      <c r="I963" s="9"/>
    </row>
    <row r="964">
      <c r="D964" s="18"/>
      <c r="E964" s="18"/>
      <c r="I964" s="9"/>
    </row>
    <row r="965">
      <c r="D965" s="18"/>
      <c r="E965" s="18"/>
      <c r="I965" s="9"/>
    </row>
    <row r="966">
      <c r="D966" s="18"/>
      <c r="E966" s="18"/>
      <c r="I966" s="9"/>
    </row>
    <row r="967">
      <c r="D967" s="18"/>
      <c r="E967" s="18"/>
      <c r="I967" s="9"/>
    </row>
    <row r="968">
      <c r="D968" s="18"/>
      <c r="E968" s="18"/>
      <c r="I968" s="9"/>
    </row>
    <row r="969">
      <c r="D969" s="18"/>
      <c r="E969" s="18"/>
      <c r="I969" s="9"/>
    </row>
    <row r="970">
      <c r="D970" s="18"/>
      <c r="E970" s="18"/>
      <c r="I970" s="9"/>
    </row>
    <row r="971">
      <c r="D971" s="18"/>
      <c r="E971" s="18"/>
      <c r="I971" s="9"/>
    </row>
    <row r="972">
      <c r="D972" s="18"/>
      <c r="E972" s="18"/>
      <c r="I972" s="9"/>
    </row>
    <row r="973">
      <c r="D973" s="18"/>
      <c r="E973" s="18"/>
      <c r="I973" s="9"/>
    </row>
    <row r="974">
      <c r="D974" s="18"/>
      <c r="E974" s="18"/>
      <c r="I974" s="9"/>
    </row>
    <row r="975">
      <c r="D975" s="18"/>
      <c r="E975" s="18"/>
      <c r="I975" s="9"/>
    </row>
    <row r="976">
      <c r="D976" s="18"/>
      <c r="E976" s="18"/>
      <c r="I976" s="9"/>
    </row>
    <row r="977">
      <c r="D977" s="18"/>
      <c r="E977" s="18"/>
      <c r="I977" s="9"/>
    </row>
    <row r="978">
      <c r="D978" s="18"/>
      <c r="E978" s="18"/>
      <c r="I978" s="9"/>
    </row>
    <row r="979">
      <c r="D979" s="18"/>
      <c r="E979" s="18"/>
      <c r="I979" s="9"/>
    </row>
    <row r="980">
      <c r="D980" s="18"/>
      <c r="E980" s="18"/>
      <c r="I980" s="9"/>
    </row>
    <row r="981">
      <c r="D981" s="18"/>
      <c r="E981" s="18"/>
      <c r="I981" s="9"/>
    </row>
    <row r="982">
      <c r="D982" s="18"/>
      <c r="E982" s="18"/>
      <c r="I982" s="9"/>
    </row>
    <row r="983">
      <c r="D983" s="18"/>
      <c r="E983" s="18"/>
      <c r="I983" s="9"/>
    </row>
    <row r="984">
      <c r="D984" s="18"/>
      <c r="E984" s="18"/>
      <c r="I984" s="9"/>
    </row>
    <row r="985">
      <c r="D985" s="18"/>
      <c r="E985" s="18"/>
      <c r="I985" s="9"/>
    </row>
    <row r="986">
      <c r="D986" s="18"/>
      <c r="E986" s="18"/>
      <c r="I986" s="9"/>
    </row>
    <row r="987">
      <c r="D987" s="18"/>
      <c r="E987" s="18"/>
      <c r="I987" s="9"/>
    </row>
    <row r="988">
      <c r="D988" s="18"/>
      <c r="E988" s="18"/>
      <c r="I988" s="9"/>
    </row>
    <row r="989">
      <c r="D989" s="18"/>
      <c r="E989" s="18"/>
      <c r="I989" s="9"/>
    </row>
    <row r="990">
      <c r="D990" s="18"/>
      <c r="E990" s="18"/>
      <c r="I990" s="9"/>
    </row>
    <row r="991">
      <c r="D991" s="18"/>
      <c r="E991" s="18"/>
      <c r="I991" s="9"/>
    </row>
    <row r="992">
      <c r="D992" s="18"/>
      <c r="E992" s="18"/>
      <c r="I992" s="9"/>
    </row>
    <row r="993">
      <c r="D993" s="18"/>
      <c r="E993" s="18"/>
      <c r="I993" s="9"/>
    </row>
    <row r="994">
      <c r="D994" s="18"/>
      <c r="E994" s="18"/>
      <c r="I994" s="9"/>
    </row>
    <row r="995">
      <c r="D995" s="18"/>
      <c r="E995" s="18"/>
      <c r="I995" s="9"/>
    </row>
    <row r="996">
      <c r="D996" s="18"/>
      <c r="E996" s="18"/>
      <c r="I996" s="9"/>
    </row>
    <row r="997">
      <c r="D997" s="18"/>
      <c r="E997" s="18"/>
      <c r="I997" s="9"/>
    </row>
    <row r="998">
      <c r="D998" s="18"/>
      <c r="E998" s="18"/>
      <c r="I998" s="9"/>
    </row>
    <row r="999">
      <c r="D999" s="18"/>
      <c r="E999" s="18"/>
      <c r="I999" s="9"/>
    </row>
    <row r="1000">
      <c r="D1000" s="18"/>
      <c r="E1000" s="18"/>
      <c r="I1000" s="9"/>
    </row>
    <row r="1001">
      <c r="D1001" s="18"/>
      <c r="E1001" s="18"/>
      <c r="I1001" s="9"/>
    </row>
    <row r="1002">
      <c r="D1002" s="18"/>
      <c r="E1002" s="18"/>
      <c r="I1002" s="9"/>
    </row>
  </sheetData>
  <dataValidations>
    <dataValidation type="custom" allowBlank="1" showInputMessage="1" showErrorMessage="1" prompt="Preencha a data real de conclusão (dd/mm/aaaa) e marque Concluída. Deixe em branco se ainda não terminou." sqref="I2:I1002">
      <formula1>OR(NOT(ISERROR(DATEVALUE(I2))), AND(ISNUMBER(I2), LEFT(CELL("format", I2))="D"))</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s>
  <sheetData>
    <row r="1">
      <c r="A1" s="1" t="s">
        <v>60</v>
      </c>
      <c r="B1" s="6" t="s">
        <v>61</v>
      </c>
      <c r="C1" s="6" t="s">
        <v>63</v>
      </c>
      <c r="D1" s="6" t="s">
        <v>64</v>
      </c>
      <c r="E1" s="14" t="s">
        <v>65</v>
      </c>
      <c r="F1" s="14" t="s">
        <v>67</v>
      </c>
      <c r="G1" s="5" t="s">
        <v>68</v>
      </c>
      <c r="H1" s="5" t="s">
        <v>69</v>
      </c>
    </row>
    <row r="2">
      <c r="A2" s="15">
        <v>1.0</v>
      </c>
      <c r="B2" s="16">
        <f>SUMIFS('Base de Dados'!E2:E999,'Base de Dados'!H2:H999,"&gt;0",'Base de Dados'!H2:H999,"&lt;="&amp;A2,'Base de Dados'!A2:A999,"&lt;&gt;4.2.1 Reuniões Semanais")+(SUMIF('Base de Dados'!A2:A999,"4.2.1 Reuniões Semanais",'Base de Dados'!E2:E999)/16)*MIN(16,A2)</f>
        <v>306.25</v>
      </c>
      <c r="C2" s="16">
        <f t="array" ref="C2">IF(INDEX('Dados do Burndown'!R2:R17,A2)+6&gt;TODAY(),"",SUMIFS('Base de Dados'!E2:E999,'Base de Dados'!G2:G999,"&gt;0",'Base de Dados'!G2:G999,"&lt;="&amp;A2,'Base de Dados'!F2:F999,TRUE,'Base de Dados'!A2:A999,"&lt;&gt;4.2.1 Reuniões Semanais")+(SUMIF('Base de Dados'!A2:A999,"4.2.1 Reuniões Semanais",'Base de Dados'!E2:E999)/16)*MIN(16,A2))</f>
        <v>306.25</v>
      </c>
      <c r="D2" s="16">
        <f t="array" ref="D2">IF(INDEX('Dados do Burndown'!R2:R17,A2)+6&gt;TODAY(),"",SUMIFS('Base de Dados'!D2:D999,'Base de Dados'!G2:G999,"&gt;0",'Base de Dados'!G2:G999,"&lt;="&amp;A2,'Base de Dados'!A2:A999,"&lt;&gt;4.2.1 Reuniões Semanais")+(SUMIF('Base de Dados'!A2:A999,"4.2.1 Reuniões Semanais",'Base de Dados'!E2:E999)/16)*MIN(16,A2))</f>
        <v>262.5</v>
      </c>
      <c r="E2" s="17">
        <f t="shared" ref="E2:E17" si="1">IF(C2="","",IFERROR(C2/B2,""))</f>
        <v>1</v>
      </c>
      <c r="F2" s="17">
        <f t="shared" ref="F2:F17" si="2">IF(OR(C2="",D2=""),"",IFERROR(C2/D2,""))</f>
        <v>1.166666667</v>
      </c>
      <c r="G2" s="16">
        <f t="shared" ref="G2:G17" si="3">IF(C2="","",C2-B2)</f>
        <v>0</v>
      </c>
      <c r="H2" s="16">
        <f t="shared" ref="H2:H17" si="4">IF(OR(C2="",D2=""),"",C2-D2)</f>
        <v>43.75</v>
      </c>
    </row>
    <row r="3">
      <c r="A3" s="15">
        <v>2.0</v>
      </c>
      <c r="B3" s="16">
        <f>SUMIFS('Base de Dados'!E2:E999,'Base de Dados'!H2:H999,"&gt;0",'Base de Dados'!H2:H999,"&lt;="&amp;A3,'Base de Dados'!A2:A999,"&lt;&gt;4.2.1 Reuniões Semanais")+(SUMIF('Base de Dados'!A2:A999,"4.2.1 Reuniões Semanais",'Base de Dados'!E2:E999)/16)*MIN(16,A3)</f>
        <v>600</v>
      </c>
      <c r="C3" s="16">
        <f t="array" ref="C3">IF(INDEX('Dados do Burndown'!R2:R17,A3)+6&gt;TODAY(),"",SUMIFS('Base de Dados'!E2:E999,'Base de Dados'!G2:G999,"&gt;0",'Base de Dados'!G2:G999,"&lt;="&amp;A3,'Base de Dados'!F2:F999,TRUE,'Base de Dados'!A2:A999,"&lt;&gt;4.2.1 Reuniões Semanais")+(SUMIF('Base de Dados'!A2:A999,"4.2.1 Reuniões Semanais",'Base de Dados'!E2:E999)/16)*MIN(16,A3))</f>
        <v>525</v>
      </c>
      <c r="D3" s="16">
        <f t="array" ref="D3">IF(INDEX('Dados do Burndown'!R2:R17,A3)+6&gt;TODAY(),"",SUMIFS('Base de Dados'!D2:D999,'Base de Dados'!G2:G999,"&gt;0",'Base de Dados'!G2:G999,"&lt;="&amp;A3,'Base de Dados'!A2:A999,"&lt;&gt;4.2.1 Reuniões Semanais")+(SUMIF('Base de Dados'!A2:A999,"4.2.1 Reuniões Semanais",'Base de Dados'!E2:E999)/16)*MIN(16,A3))</f>
        <v>481.25</v>
      </c>
      <c r="E3" s="17">
        <f t="shared" si="1"/>
        <v>0.875</v>
      </c>
      <c r="F3" s="17">
        <f t="shared" si="2"/>
        <v>1.090909091</v>
      </c>
      <c r="G3" s="16">
        <f t="shared" si="3"/>
        <v>-75</v>
      </c>
      <c r="H3" s="16">
        <f t="shared" si="4"/>
        <v>43.75</v>
      </c>
    </row>
    <row r="4">
      <c r="A4" s="15">
        <v>3.0</v>
      </c>
      <c r="B4" s="16">
        <f>SUMIFS('Base de Dados'!E2:E999,'Base de Dados'!H2:H999,"&gt;0",'Base de Dados'!H2:H999,"&lt;="&amp;A4,'Base de Dados'!A2:A999,"&lt;&gt;4.2.1 Reuniões Semanais")+(SUMIF('Base de Dados'!A2:A999,"4.2.1 Reuniões Semanais",'Base de Dados'!E2:E999)/16)*MIN(16,A4)</f>
        <v>918.75</v>
      </c>
      <c r="C4" s="16">
        <f t="array" ref="C4">IF(INDEX('Dados do Burndown'!R2:R17,A4)+6&gt;TODAY(),"",SUMIFS('Base de Dados'!E2:E999,'Base de Dados'!G2:G999,"&gt;0",'Base de Dados'!G2:G999,"&lt;="&amp;A4,'Base de Dados'!F2:F999,TRUE,'Base de Dados'!A2:A999,"&lt;&gt;4.2.1 Reuniões Semanais")+(SUMIF('Base de Dados'!A2:A999,"4.2.1 Reuniões Semanais",'Base de Dados'!E2:E999)/16)*MIN(16,A4))</f>
        <v>918.75</v>
      </c>
      <c r="D4" s="16">
        <f t="array" ref="D4">IF(INDEX('Dados do Burndown'!R2:R17,A4)+6&gt;TODAY(),"",SUMIFS('Base de Dados'!D2:D999,'Base de Dados'!G2:G999,"&gt;0",'Base de Dados'!G2:G999,"&lt;="&amp;A4,'Base de Dados'!A2:A999,"&lt;&gt;4.2.1 Reuniões Semanais")+(SUMIF('Base de Dados'!A2:A999,"4.2.1 Reuniões Semanais",'Base de Dados'!E2:E999)/16)*MIN(16,A4))</f>
        <v>931.25</v>
      </c>
      <c r="E4" s="17">
        <f t="shared" si="1"/>
        <v>1</v>
      </c>
      <c r="F4" s="17">
        <f t="shared" si="2"/>
        <v>0.9865771812</v>
      </c>
      <c r="G4" s="16">
        <f t="shared" si="3"/>
        <v>0</v>
      </c>
      <c r="H4" s="16">
        <f t="shared" si="4"/>
        <v>-12.5</v>
      </c>
    </row>
    <row r="5">
      <c r="A5" s="15">
        <v>4.0</v>
      </c>
      <c r="B5" s="16">
        <f>SUMIFS('Base de Dados'!E2:E999,'Base de Dados'!H2:H999,"&gt;0",'Base de Dados'!H2:H999,"&lt;="&amp;A5,'Base de Dados'!A2:A999,"&lt;&gt;4.2.1 Reuniões Semanais")+(SUMIF('Base de Dados'!A2:A999,"4.2.1 Reuniões Semanais",'Base de Dados'!E2:E999)/16)*MIN(16,A5)</f>
        <v>1175</v>
      </c>
      <c r="C5" s="16">
        <f t="array" ref="C5">IF(INDEX('Dados do Burndown'!R2:R17,A5)+6&gt;TODAY(),"",SUMIFS('Base de Dados'!E2:E999,'Base de Dados'!G2:G999,"&gt;0",'Base de Dados'!G2:G999,"&lt;="&amp;A5,'Base de Dados'!F2:F999,TRUE,'Base de Dados'!A2:A999,"&lt;&gt;4.2.1 Reuniões Semanais")+(SUMIF('Base de Dados'!A2:A999,"4.2.1 Reuniões Semanais",'Base de Dados'!E2:E999)/16)*MIN(16,A5))</f>
        <v>1175</v>
      </c>
      <c r="D5" s="16">
        <f t="array" ref="D5">IF(INDEX('Dados do Burndown'!R2:R17,A5)+6&gt;TODAY(),"",SUMIFS('Base de Dados'!D2:D999,'Base de Dados'!G2:G999,"&gt;0",'Base de Dados'!G2:G999,"&lt;="&amp;A5,'Base de Dados'!A2:A999,"&lt;&gt;4.2.1 Reuniões Semanais")+(SUMIF('Base de Dados'!A2:A999,"4.2.1 Reuniões Semanais",'Base de Dados'!E2:E999)/16)*MIN(16,A5))</f>
        <v>1212.5</v>
      </c>
      <c r="E5" s="17">
        <f t="shared" si="1"/>
        <v>1</v>
      </c>
      <c r="F5" s="17">
        <f t="shared" si="2"/>
        <v>0.9690721649</v>
      </c>
      <c r="G5" s="16">
        <f t="shared" si="3"/>
        <v>0</v>
      </c>
      <c r="H5" s="16">
        <f t="shared" si="4"/>
        <v>-37.5</v>
      </c>
    </row>
    <row r="6">
      <c r="A6" s="15">
        <v>5.0</v>
      </c>
      <c r="B6" s="16">
        <f>SUMIFS('Base de Dados'!E2:E999,'Base de Dados'!H2:H999,"&gt;0",'Base de Dados'!H2:H999,"&lt;="&amp;A6,'Base de Dados'!A2:A999,"&lt;&gt;4.2.1 Reuniões Semanais")+(SUMIF('Base de Dados'!A2:A999,"4.2.1 Reuniões Semanais",'Base de Dados'!E2:E999)/16)*MIN(16,A6)</f>
        <v>1650</v>
      </c>
      <c r="C6" s="16">
        <f t="array" ref="C6">IF(INDEX('Dados do Burndown'!R2:R17,A6)+6&gt;TODAY(),"",SUMIFS('Base de Dados'!E2:E999,'Base de Dados'!G2:G999,"&gt;0",'Base de Dados'!G2:G999,"&lt;="&amp;A6,'Base de Dados'!F2:F999,TRUE,'Base de Dados'!A2:A999,"&lt;&gt;4.2.1 Reuniões Semanais")+(SUMIF('Base de Dados'!A2:A999,"4.2.1 Reuniões Semanais",'Base de Dados'!E2:E999)/16)*MIN(16,A6))</f>
        <v>1587.5</v>
      </c>
      <c r="D6" s="16">
        <f t="array" ref="D6">IF(INDEX('Dados do Burndown'!R2:R17,A6)+6&gt;TODAY(),"",SUMIFS('Base de Dados'!D2:D999,'Base de Dados'!G2:G999,"&gt;0",'Base de Dados'!G2:G999,"&lt;="&amp;A6,'Base de Dados'!A2:A999,"&lt;&gt;4.2.1 Reuniões Semanais")+(SUMIF('Base de Dados'!A2:A999,"4.2.1 Reuniões Semanais",'Base de Dados'!E2:E999)/16)*MIN(16,A6))</f>
        <v>1612.5</v>
      </c>
      <c r="E6" s="17">
        <f t="shared" si="1"/>
        <v>0.9621212121</v>
      </c>
      <c r="F6" s="17">
        <f t="shared" si="2"/>
        <v>0.984496124</v>
      </c>
      <c r="G6" s="16">
        <f t="shared" si="3"/>
        <v>-62.5</v>
      </c>
      <c r="H6" s="16">
        <f t="shared" si="4"/>
        <v>-25</v>
      </c>
    </row>
    <row r="7">
      <c r="A7" s="15">
        <v>6.0</v>
      </c>
      <c r="B7" s="16">
        <f>SUMIFS('Base de Dados'!E2:E999,'Base de Dados'!H2:H999,"&gt;0",'Base de Dados'!H2:H999,"&lt;="&amp;A7,'Base de Dados'!A2:A999,"&lt;&gt;4.2.1 Reuniões Semanais")+(SUMIF('Base de Dados'!A2:A999,"4.2.1 Reuniões Semanais",'Base de Dados'!E2:E999)/16)*MIN(16,A7)</f>
        <v>1912.5</v>
      </c>
      <c r="C7" s="16">
        <f t="array" ref="C7">IF(INDEX('Dados do Burndown'!R2:R17,A7)+6&gt;TODAY(),"",SUMIFS('Base de Dados'!E2:E999,'Base de Dados'!G2:G999,"&gt;0",'Base de Dados'!G2:G999,"&lt;="&amp;A7,'Base de Dados'!F2:F999,TRUE,'Base de Dados'!A2:A999,"&lt;&gt;4.2.1 Reuniões Semanais")+(SUMIF('Base de Dados'!A2:A999,"4.2.1 Reuniões Semanais",'Base de Dados'!E2:E999)/16)*MIN(16,A7))</f>
        <v>1887.5</v>
      </c>
      <c r="D7" s="16">
        <f t="array" ref="D7">IF(INDEX('Dados do Burndown'!R2:R17,A7)+6&gt;TODAY(),"",SUMIFS('Base de Dados'!D2:D999,'Base de Dados'!G2:G999,"&gt;0",'Base de Dados'!G2:G999,"&lt;="&amp;A7,'Base de Dados'!A2:A999,"&lt;&gt;4.2.1 Reuniões Semanais")+(SUMIF('Base de Dados'!A2:A999,"4.2.1 Reuniões Semanais",'Base de Dados'!E2:E999)/16)*MIN(16,A7))</f>
        <v>1900</v>
      </c>
      <c r="E7" s="17">
        <f t="shared" si="1"/>
        <v>0.9869281046</v>
      </c>
      <c r="F7" s="17">
        <f t="shared" si="2"/>
        <v>0.9934210526</v>
      </c>
      <c r="G7" s="16">
        <f t="shared" si="3"/>
        <v>-25</v>
      </c>
      <c r="H7" s="16">
        <f t="shared" si="4"/>
        <v>-12.5</v>
      </c>
    </row>
    <row r="8">
      <c r="A8" s="15">
        <v>7.0</v>
      </c>
      <c r="B8" s="16">
        <f>SUMIFS('Base de Dados'!E2:E999,'Base de Dados'!H2:H999,"&gt;0",'Base de Dados'!H2:H999,"&lt;="&amp;A8,'Base de Dados'!A2:A999,"&lt;&gt;4.2.1 Reuniões Semanais")+(SUMIF('Base de Dados'!A2:A999,"4.2.1 Reuniões Semanais",'Base de Dados'!E2:E999)/16)*MIN(16,A8)</f>
        <v>2518.75</v>
      </c>
      <c r="C8" s="16">
        <f t="array" ref="C8">IF(INDEX('Dados do Burndown'!R2:R17,A8)+6&gt;TODAY(),"",SUMIFS('Base de Dados'!E2:E999,'Base de Dados'!G2:G999,"&gt;0",'Base de Dados'!G2:G999,"&lt;="&amp;A8,'Base de Dados'!F2:F999,TRUE,'Base de Dados'!A2:A999,"&lt;&gt;4.2.1 Reuniões Semanais")+(SUMIF('Base de Dados'!A2:A999,"4.2.1 Reuniões Semanais",'Base de Dados'!E2:E999)/16)*MIN(16,A8))</f>
        <v>2231.25</v>
      </c>
      <c r="D8" s="16">
        <f t="array" ref="D8">IF(INDEX('Dados do Burndown'!R2:R17,A8)+6&gt;TODAY(),"",SUMIFS('Base de Dados'!D2:D999,'Base de Dados'!G2:G999,"&gt;0",'Base de Dados'!G2:G999,"&lt;="&amp;A8,'Base de Dados'!A2:A999,"&lt;&gt;4.2.1 Reuniões Semanais")+(SUMIF('Base de Dados'!A2:A999,"4.2.1 Reuniões Semanais",'Base de Dados'!E2:E999)/16)*MIN(16,A8))</f>
        <v>2200</v>
      </c>
      <c r="E8" s="17">
        <f t="shared" si="1"/>
        <v>0.8858560794</v>
      </c>
      <c r="F8" s="17">
        <f t="shared" si="2"/>
        <v>1.014204545</v>
      </c>
      <c r="G8" s="16">
        <f t="shared" si="3"/>
        <v>-287.5</v>
      </c>
      <c r="H8" s="16">
        <f t="shared" si="4"/>
        <v>31.25</v>
      </c>
    </row>
    <row r="9">
      <c r="A9" s="40">
        <v>8.0</v>
      </c>
      <c r="B9" s="41">
        <f>SUMIFS('Base de Dados'!E2:E999,'Base de Dados'!H2:H999,"&gt;0",'Base de Dados'!H2:H999,"&lt;="&amp;A9,'Base de Dados'!A2:A999,"&lt;&gt;4.2.1 Reuniões Semanais")+(SUMIF('Base de Dados'!A2:A999,"4.2.1 Reuniões Semanais",'Base de Dados'!E2:E999)/16)*MIN(16,A9)</f>
        <v>3362.5</v>
      </c>
      <c r="C9" s="41">
        <f t="array" ref="C9">IF(INDEX('Dados do Burndown'!R2:R17,A9)+6&gt;TODAY(),"",SUMIFS('Base de Dados'!E2:E999,'Base de Dados'!G2:G999,"&gt;0",'Base de Dados'!G2:G999,"&lt;="&amp;A9,'Base de Dados'!F2:F999,TRUE,'Base de Dados'!A2:A999,"&lt;&gt;4.2.1 Reuniões Semanais")+(SUMIF('Base de Dados'!A2:A999,"4.2.1 Reuniões Semanais",'Base de Dados'!E2:E999)/16)*MIN(16,A9))</f>
        <v>3318.75</v>
      </c>
      <c r="D9" s="41">
        <f t="array" ref="D9">IF(INDEX('Dados do Burndown'!R2:R17,A9)+6&gt;TODAY(),"",SUMIFS('Base de Dados'!D2:D999,'Base de Dados'!G2:G999,"&gt;0",'Base de Dados'!G2:G999,"&lt;="&amp;A9,'Base de Dados'!A2:A999,"&lt;&gt;4.2.1 Reuniões Semanais")+(SUMIF('Base de Dados'!A2:A999,"4.2.1 Reuniões Semanais",'Base de Dados'!E2:E999)/16)*MIN(16,A9))</f>
        <v>2943.75</v>
      </c>
      <c r="E9" s="43">
        <f t="shared" si="1"/>
        <v>0.9869888476</v>
      </c>
      <c r="F9" s="43">
        <f t="shared" si="2"/>
        <v>1.127388535</v>
      </c>
      <c r="G9" s="41">
        <f t="shared" si="3"/>
        <v>-43.75</v>
      </c>
      <c r="H9" s="41">
        <f t="shared" si="4"/>
        <v>375</v>
      </c>
    </row>
    <row r="10">
      <c r="A10" s="44">
        <v>9.0</v>
      </c>
      <c r="B10" s="46">
        <f>SUMIFS('Base de Dados'!E2:E999,'Base de Dados'!H2:H999,"&gt;0",'Base de Dados'!H2:H999,"&lt;="&amp;A10,'Base de Dados'!A2:A999,"&lt;&gt;4.2.1 Reuniões Semanais")+(SUMIF('Base de Dados'!A2:A999,"4.2.1 Reuniões Semanais",'Base de Dados'!E2:E999)/16)*MIN(16,A10)</f>
        <v>4006.25</v>
      </c>
      <c r="C10" s="46" t="str">
        <f t="array" ref="C10">IF(INDEX('Dados do Burndown'!R2:R17,A10)+6&gt;TODAY(),"",SUMIFS('Base de Dados'!E2:E999,'Base de Dados'!G2:G999,"&gt;0",'Base de Dados'!G2:G999,"&lt;="&amp;A10,'Base de Dados'!F2:F999,TRUE,'Base de Dados'!A2:A999,"&lt;&gt;4.2.1 Reuniões Semanais")+(SUMIF('Base de Dados'!A2:A999,"4.2.1 Reuniões Semanais",'Base de Dados'!E2:E999)/16)*MIN(16,A10))</f>
        <v/>
      </c>
      <c r="D10" s="46" t="str">
        <f t="array" ref="D10">IF(INDEX('Dados do Burndown'!R2:R17,A10)+6&gt;TODAY(),"",SUMIFS('Base de Dados'!D2:D999,'Base de Dados'!G2:G999,"&gt;0",'Base de Dados'!G2:G999,"&lt;="&amp;A10,'Base de Dados'!A2:A999,"&lt;&gt;4.2.1 Reuniões Semanais")+(SUMIF('Base de Dados'!A2:A999,"4.2.1 Reuniões Semanais",'Base de Dados'!E2:E999)/16)*MIN(16,A10))</f>
        <v/>
      </c>
      <c r="E10" s="47" t="str">
        <f t="shared" si="1"/>
        <v/>
      </c>
      <c r="F10" s="47" t="str">
        <f t="shared" si="2"/>
        <v/>
      </c>
      <c r="G10" s="46" t="str">
        <f t="shared" si="3"/>
        <v/>
      </c>
      <c r="H10" s="46" t="str">
        <f t="shared" si="4"/>
        <v/>
      </c>
    </row>
    <row r="11">
      <c r="A11" s="44">
        <v>10.0</v>
      </c>
      <c r="B11" s="46">
        <f>SUMIFS('Base de Dados'!E2:E999,'Base de Dados'!H2:H999,"&gt;0",'Base de Dados'!H2:H999,"&lt;="&amp;A11,'Base de Dados'!A2:A999,"&lt;&gt;4.2.1 Reuniões Semanais")+(SUMIF('Base de Dados'!A2:A999,"4.2.1 Reuniões Semanais",'Base de Dados'!E2:E999)/16)*MIN(16,A11)</f>
        <v>4725</v>
      </c>
      <c r="C11" s="46" t="str">
        <f t="array" ref="C11">IF(INDEX('Dados do Burndown'!R2:R17,A11)+6&gt;TODAY(),"",SUMIFS('Base de Dados'!E2:E999,'Base de Dados'!G2:G999,"&gt;0",'Base de Dados'!G2:G999,"&lt;="&amp;A11,'Base de Dados'!F2:F999,TRUE,'Base de Dados'!A2:A999,"&lt;&gt;4.2.1 Reuniões Semanais")+(SUMIF('Base de Dados'!A2:A999,"4.2.1 Reuniões Semanais",'Base de Dados'!E2:E999)/16)*MIN(16,A11))</f>
        <v/>
      </c>
      <c r="D11" s="46" t="str">
        <f t="array" ref="D11">IF(INDEX('Dados do Burndown'!R2:R17,A11)+6&gt;TODAY(),"",SUMIFS('Base de Dados'!D2:D999,'Base de Dados'!G2:G999,"&gt;0",'Base de Dados'!G2:G999,"&lt;="&amp;A11,'Base de Dados'!A2:A999,"&lt;&gt;4.2.1 Reuniões Semanais")+(SUMIF('Base de Dados'!A2:A999,"4.2.1 Reuniões Semanais",'Base de Dados'!E2:E999)/16)*MIN(16,A11))</f>
        <v/>
      </c>
      <c r="E11" s="47" t="str">
        <f t="shared" si="1"/>
        <v/>
      </c>
      <c r="F11" s="47" t="str">
        <f t="shared" si="2"/>
        <v/>
      </c>
      <c r="G11" s="46" t="str">
        <f t="shared" si="3"/>
        <v/>
      </c>
      <c r="H11" s="46" t="str">
        <f t="shared" si="4"/>
        <v/>
      </c>
    </row>
    <row r="12">
      <c r="A12" s="44">
        <v>11.0</v>
      </c>
      <c r="B12" s="46">
        <f>SUMIFS('Base de Dados'!E2:E999,'Base de Dados'!H2:H999,"&gt;0",'Base de Dados'!H2:H999,"&lt;="&amp;A12,'Base de Dados'!A2:A999,"&lt;&gt;4.2.1 Reuniões Semanais")+(SUMIF('Base de Dados'!A2:A999,"4.2.1 Reuniões Semanais",'Base de Dados'!E2:E999)/16)*MIN(16,A12)</f>
        <v>4943.75</v>
      </c>
      <c r="C12" s="46" t="str">
        <f t="array" ref="C12">IF(INDEX('Dados do Burndown'!R2:R17,A12)+6&gt;TODAY(),"",SUMIFS('Base de Dados'!E2:E999,'Base de Dados'!G2:G999,"&gt;0",'Base de Dados'!G2:G999,"&lt;="&amp;A12,'Base de Dados'!F2:F999,TRUE,'Base de Dados'!A2:A999,"&lt;&gt;4.2.1 Reuniões Semanais")+(SUMIF('Base de Dados'!A2:A999,"4.2.1 Reuniões Semanais",'Base de Dados'!E2:E999)/16)*MIN(16,A12))</f>
        <v/>
      </c>
      <c r="D12" s="46" t="str">
        <f t="array" ref="D12">IF(INDEX('Dados do Burndown'!R2:R17,A12)+6&gt;TODAY(),"",SUMIFS('Base de Dados'!D2:D999,'Base de Dados'!G2:G999,"&gt;0",'Base de Dados'!G2:G999,"&lt;="&amp;A12,'Base de Dados'!A2:A999,"&lt;&gt;4.2.1 Reuniões Semanais")+(SUMIF('Base de Dados'!A2:A999,"4.2.1 Reuniões Semanais",'Base de Dados'!E2:E999)/16)*MIN(16,A12))</f>
        <v/>
      </c>
      <c r="E12" s="47" t="str">
        <f t="shared" si="1"/>
        <v/>
      </c>
      <c r="F12" s="47" t="str">
        <f t="shared" si="2"/>
        <v/>
      </c>
      <c r="G12" s="46" t="str">
        <f t="shared" si="3"/>
        <v/>
      </c>
      <c r="H12" s="46" t="str">
        <f t="shared" si="4"/>
        <v/>
      </c>
    </row>
    <row r="13">
      <c r="A13" s="44">
        <v>12.0</v>
      </c>
      <c r="B13" s="46">
        <f>SUMIFS('Base de Dados'!E2:E999,'Base de Dados'!H2:H999,"&gt;0",'Base de Dados'!H2:H999,"&lt;="&amp;A13,'Base de Dados'!A2:A999,"&lt;&gt;4.2.1 Reuniões Semanais")+(SUMIF('Base de Dados'!A2:A999,"4.2.1 Reuniões Semanais",'Base de Dados'!E2:E999)/16)*MIN(16,A13)</f>
        <v>5162.5</v>
      </c>
      <c r="C13" s="46" t="str">
        <f t="array" ref="C13">IF(INDEX('Dados do Burndown'!R2:R17,A13)+6&gt;TODAY(),"",SUMIFS('Base de Dados'!E2:E999,'Base de Dados'!G2:G999,"&gt;0",'Base de Dados'!G2:G999,"&lt;="&amp;A13,'Base de Dados'!F2:F999,TRUE,'Base de Dados'!A2:A999,"&lt;&gt;4.2.1 Reuniões Semanais")+(SUMIF('Base de Dados'!A2:A999,"4.2.1 Reuniões Semanais",'Base de Dados'!E2:E999)/16)*MIN(16,A13))</f>
        <v/>
      </c>
      <c r="D13" s="46" t="str">
        <f t="array" ref="D13">IF(INDEX('Dados do Burndown'!R2:R17,A13)+6&gt;TODAY(),"",SUMIFS('Base de Dados'!D2:D999,'Base de Dados'!G2:G999,"&gt;0",'Base de Dados'!G2:G999,"&lt;="&amp;A13,'Base de Dados'!A2:A999,"&lt;&gt;4.2.1 Reuniões Semanais")+(SUMIF('Base de Dados'!A2:A999,"4.2.1 Reuniões Semanais",'Base de Dados'!E2:E999)/16)*MIN(16,A13))</f>
        <v/>
      </c>
      <c r="E13" s="47" t="str">
        <f t="shared" si="1"/>
        <v/>
      </c>
      <c r="F13" s="47" t="str">
        <f t="shared" si="2"/>
        <v/>
      </c>
      <c r="G13" s="46" t="str">
        <f t="shared" si="3"/>
        <v/>
      </c>
      <c r="H13" s="46" t="str">
        <f t="shared" si="4"/>
        <v/>
      </c>
    </row>
    <row r="14">
      <c r="A14" s="44">
        <v>13.0</v>
      </c>
      <c r="B14" s="46">
        <f>SUMIFS('Base de Dados'!E2:E999,'Base de Dados'!H2:H999,"&gt;0",'Base de Dados'!H2:H999,"&lt;="&amp;A14,'Base de Dados'!A2:A999,"&lt;&gt;4.2.1 Reuniões Semanais")+(SUMIF('Base de Dados'!A2:A999,"4.2.1 Reuniões Semanais",'Base de Dados'!E2:E999)/16)*MIN(16,A14)</f>
        <v>5381.25</v>
      </c>
      <c r="C14" s="46" t="str">
        <f t="array" ref="C14">IF(INDEX('Dados do Burndown'!R2:R17,A14)+6&gt;TODAY(),"",SUMIFS('Base de Dados'!E2:E999,'Base de Dados'!G2:G999,"&gt;0",'Base de Dados'!G2:G999,"&lt;="&amp;A14,'Base de Dados'!F2:F999,TRUE,'Base de Dados'!A2:A999,"&lt;&gt;4.2.1 Reuniões Semanais")+(SUMIF('Base de Dados'!A2:A999,"4.2.1 Reuniões Semanais",'Base de Dados'!E2:E999)/16)*MIN(16,A14))</f>
        <v/>
      </c>
      <c r="D14" s="46" t="str">
        <f t="array" ref="D14">IF(INDEX('Dados do Burndown'!R2:R17,A14)+6&gt;TODAY(),"",SUMIFS('Base de Dados'!D2:D999,'Base de Dados'!G2:G999,"&gt;0",'Base de Dados'!G2:G999,"&lt;="&amp;A14,'Base de Dados'!A2:A999,"&lt;&gt;4.2.1 Reuniões Semanais")+(SUMIF('Base de Dados'!A2:A999,"4.2.1 Reuniões Semanais",'Base de Dados'!E2:E999)/16)*MIN(16,A14))</f>
        <v/>
      </c>
      <c r="E14" s="47" t="str">
        <f t="shared" si="1"/>
        <v/>
      </c>
      <c r="F14" s="47" t="str">
        <f t="shared" si="2"/>
        <v/>
      </c>
      <c r="G14" s="46" t="str">
        <f t="shared" si="3"/>
        <v/>
      </c>
      <c r="H14" s="46" t="str">
        <f t="shared" si="4"/>
        <v/>
      </c>
    </row>
    <row r="15">
      <c r="A15" s="44">
        <v>14.0</v>
      </c>
      <c r="B15" s="46">
        <f>SUMIFS('Base de Dados'!E2:E999,'Base de Dados'!H2:H999,"&gt;0",'Base de Dados'!H2:H999,"&lt;="&amp;A15,'Base de Dados'!A2:A999,"&lt;&gt;4.2.1 Reuniões Semanais")+(SUMIF('Base de Dados'!A2:A999,"4.2.1 Reuniões Semanais",'Base de Dados'!E2:E999)/16)*MIN(16,A15)</f>
        <v>5600</v>
      </c>
      <c r="C15" s="46" t="str">
        <f t="array" ref="C15">IF(INDEX('Dados do Burndown'!R2:R17,A15)+6&gt;TODAY(),"",SUMIFS('Base de Dados'!E2:E999,'Base de Dados'!G2:G999,"&gt;0",'Base de Dados'!G2:G999,"&lt;="&amp;A15,'Base de Dados'!F2:F999,TRUE,'Base de Dados'!A2:A999,"&lt;&gt;4.2.1 Reuniões Semanais")+(SUMIF('Base de Dados'!A2:A999,"4.2.1 Reuniões Semanais",'Base de Dados'!E2:E999)/16)*MIN(16,A15))</f>
        <v/>
      </c>
      <c r="D15" s="46" t="str">
        <f t="array" ref="D15">IF(INDEX('Dados do Burndown'!R2:R17,A15)+6&gt;TODAY(),"",SUMIFS('Base de Dados'!D2:D999,'Base de Dados'!G2:G999,"&gt;0",'Base de Dados'!G2:G999,"&lt;="&amp;A15,'Base de Dados'!A2:A999,"&lt;&gt;4.2.1 Reuniões Semanais")+(SUMIF('Base de Dados'!A2:A999,"4.2.1 Reuniões Semanais",'Base de Dados'!E2:E999)/16)*MIN(16,A15))</f>
        <v/>
      </c>
      <c r="E15" s="47" t="str">
        <f t="shared" si="1"/>
        <v/>
      </c>
      <c r="F15" s="47" t="str">
        <f t="shared" si="2"/>
        <v/>
      </c>
      <c r="G15" s="46" t="str">
        <f t="shared" si="3"/>
        <v/>
      </c>
      <c r="H15" s="46" t="str">
        <f t="shared" si="4"/>
        <v/>
      </c>
    </row>
    <row r="16">
      <c r="A16" s="44">
        <v>15.0</v>
      </c>
      <c r="B16" s="46">
        <f>SUMIFS('Base de Dados'!E2:E999,'Base de Dados'!H2:H999,"&gt;0",'Base de Dados'!H2:H999,"&lt;="&amp;A16,'Base de Dados'!A2:A999,"&lt;&gt;4.2.1 Reuniões Semanais")+(SUMIF('Base de Dados'!A2:A999,"4.2.1 Reuniões Semanais",'Base de Dados'!E2:E999)/16)*MIN(16,A16)</f>
        <v>6081.25</v>
      </c>
      <c r="C16" s="46" t="str">
        <f t="array" ref="C16">IF(INDEX('Dados do Burndown'!R2:R17,A16)+6&gt;TODAY(),"",SUMIFS('Base de Dados'!E2:E999,'Base de Dados'!G2:G999,"&gt;0",'Base de Dados'!G2:G999,"&lt;="&amp;A16,'Base de Dados'!F2:F999,TRUE,'Base de Dados'!A2:A999,"&lt;&gt;4.2.1 Reuniões Semanais")+(SUMIF('Base de Dados'!A2:A999,"4.2.1 Reuniões Semanais",'Base de Dados'!E2:E999)/16)*MIN(16,A16))</f>
        <v/>
      </c>
      <c r="D16" s="46" t="str">
        <f t="array" ref="D16">IF(INDEX('Dados do Burndown'!R2:R17,A16)+6&gt;TODAY(),"",SUMIFS('Base de Dados'!D2:D999,'Base de Dados'!G2:G999,"&gt;0",'Base de Dados'!G2:G999,"&lt;="&amp;A16,'Base de Dados'!A2:A999,"&lt;&gt;4.2.1 Reuniões Semanais")+(SUMIF('Base de Dados'!A2:A999,"4.2.1 Reuniões Semanais",'Base de Dados'!E2:E999)/16)*MIN(16,A16))</f>
        <v/>
      </c>
      <c r="E16" s="47" t="str">
        <f t="shared" si="1"/>
        <v/>
      </c>
      <c r="F16" s="47" t="str">
        <f t="shared" si="2"/>
        <v/>
      </c>
      <c r="G16" s="46" t="str">
        <f t="shared" si="3"/>
        <v/>
      </c>
      <c r="H16" s="46" t="str">
        <f t="shared" si="4"/>
        <v/>
      </c>
    </row>
    <row r="17">
      <c r="A17" s="44">
        <v>16.0</v>
      </c>
      <c r="B17" s="46">
        <f>SUMIFS('Base de Dados'!E2:E999,'Base de Dados'!H2:H999,"&gt;0",'Base de Dados'!H2:H999,"&lt;="&amp;A17,'Base de Dados'!A2:A999,"&lt;&gt;4.2.1 Reuniões Semanais")+(SUMIF('Base de Dados'!A2:A999,"4.2.1 Reuniões Semanais",'Base de Dados'!E2:E999)/16)*MIN(16,A17)</f>
        <v>6343.75</v>
      </c>
      <c r="C17" s="46" t="str">
        <f t="array" ref="C17">IF(INDEX('Dados do Burndown'!R2:R17,A17)+6&gt;TODAY(),"",SUMIFS('Base de Dados'!E2:E999,'Base de Dados'!G2:G999,"&gt;0",'Base de Dados'!G2:G999,"&lt;="&amp;A17,'Base de Dados'!F2:F999,TRUE,'Base de Dados'!A2:A999,"&lt;&gt;4.2.1 Reuniões Semanais")+(SUMIF('Base de Dados'!A2:A999,"4.2.1 Reuniões Semanais",'Base de Dados'!E2:E999)/16)*MIN(16,A17))</f>
        <v/>
      </c>
      <c r="D17" s="46" t="str">
        <f t="array" ref="D17">IF(INDEX('Dados do Burndown'!R2:R17,A17)+6&gt;TODAY(),"",SUMIFS('Base de Dados'!D2:D999,'Base de Dados'!G2:G999,"&gt;0",'Base de Dados'!G2:G999,"&lt;="&amp;A17,'Base de Dados'!A2:A999,"&lt;&gt;4.2.1 Reuniões Semanais")+(SUMIF('Base de Dados'!A2:A999,"4.2.1 Reuniões Semanais",'Base de Dados'!E2:E999)/16)*MIN(16,A17))</f>
        <v/>
      </c>
      <c r="E17" s="47" t="str">
        <f t="shared" si="1"/>
        <v/>
      </c>
      <c r="F17" s="47" t="str">
        <f t="shared" si="2"/>
        <v/>
      </c>
      <c r="G17" s="46" t="str">
        <f t="shared" si="3"/>
        <v/>
      </c>
      <c r="H17" s="46" t="str">
        <f t="shared" si="4"/>
        <v/>
      </c>
    </row>
    <row r="18">
      <c r="B18" s="18"/>
      <c r="C18" s="18"/>
      <c r="D18" s="18"/>
      <c r="E18" s="42"/>
      <c r="F18" s="42"/>
    </row>
    <row r="19">
      <c r="B19" s="18"/>
      <c r="C19" s="18"/>
      <c r="D19" s="18"/>
      <c r="E19" s="42"/>
      <c r="F19" s="42"/>
    </row>
    <row r="20">
      <c r="A20" s="15" t="s">
        <v>5</v>
      </c>
      <c r="B20" s="18"/>
      <c r="C20" s="18"/>
      <c r="D20" s="18"/>
      <c r="E20" s="42"/>
      <c r="F20" s="42"/>
    </row>
    <row r="21">
      <c r="A21" s="40" t="s">
        <v>97</v>
      </c>
      <c r="B21" s="18"/>
      <c r="C21" s="18"/>
      <c r="D21" s="18"/>
      <c r="E21" s="42"/>
      <c r="F21" s="42"/>
    </row>
    <row r="22">
      <c r="A22" s="44" t="s">
        <v>98</v>
      </c>
      <c r="B22" s="18"/>
      <c r="C22" s="18"/>
      <c r="D22" s="18"/>
      <c r="E22" s="42"/>
      <c r="F22" s="42"/>
    </row>
    <row r="23">
      <c r="B23" s="18"/>
      <c r="C23" s="18"/>
      <c r="D23" s="18"/>
      <c r="E23" s="42"/>
      <c r="F23" s="42"/>
    </row>
    <row r="24">
      <c r="A24" s="50" t="s">
        <v>108</v>
      </c>
    </row>
    <row r="27">
      <c r="B27" s="18"/>
      <c r="C27" s="18"/>
      <c r="D27" s="18"/>
      <c r="E27" s="42"/>
      <c r="F27" s="42"/>
    </row>
    <row r="28">
      <c r="B28" s="18"/>
      <c r="C28" s="18"/>
      <c r="D28" s="18"/>
      <c r="E28" s="42"/>
      <c r="F28" s="42"/>
    </row>
    <row r="29">
      <c r="B29" s="18"/>
      <c r="C29" s="18"/>
      <c r="D29" s="18"/>
      <c r="E29" s="42"/>
      <c r="F29" s="42"/>
    </row>
    <row r="30">
      <c r="B30" s="18"/>
      <c r="C30" s="18"/>
      <c r="D30" s="18"/>
      <c r="E30" s="42"/>
      <c r="F30" s="42"/>
    </row>
    <row r="31">
      <c r="B31" s="18"/>
      <c r="C31" s="18"/>
      <c r="D31" s="18"/>
      <c r="E31" s="42"/>
      <c r="F31" s="42"/>
    </row>
    <row r="32">
      <c r="B32" s="18"/>
      <c r="C32" s="18"/>
      <c r="D32" s="18"/>
      <c r="E32" s="42"/>
      <c r="F32" s="42"/>
    </row>
    <row r="33">
      <c r="B33" s="18"/>
      <c r="C33" s="18"/>
      <c r="D33" s="18"/>
      <c r="E33" s="42"/>
      <c r="F33" s="42"/>
    </row>
    <row r="34">
      <c r="B34" s="18"/>
      <c r="C34" s="18"/>
      <c r="D34" s="18"/>
      <c r="E34" s="42"/>
      <c r="F34" s="42"/>
    </row>
    <row r="35">
      <c r="B35" s="18"/>
      <c r="C35" s="18"/>
      <c r="D35" s="18"/>
      <c r="E35" s="42"/>
      <c r="F35" s="42"/>
    </row>
    <row r="36">
      <c r="B36" s="18"/>
      <c r="C36" s="18"/>
      <c r="D36" s="18"/>
      <c r="E36" s="42"/>
      <c r="F36" s="42"/>
    </row>
    <row r="37">
      <c r="B37" s="18"/>
      <c r="C37" s="18"/>
      <c r="D37" s="18"/>
      <c r="E37" s="42"/>
      <c r="F37" s="42"/>
    </row>
    <row r="38">
      <c r="B38" s="18"/>
      <c r="C38" s="18"/>
      <c r="D38" s="18"/>
      <c r="E38" s="42"/>
      <c r="F38" s="42"/>
    </row>
    <row r="39">
      <c r="B39" s="18"/>
      <c r="C39" s="18"/>
      <c r="D39" s="18"/>
      <c r="E39" s="42"/>
      <c r="F39" s="42"/>
    </row>
    <row r="40">
      <c r="B40" s="18"/>
      <c r="C40" s="18"/>
      <c r="D40" s="18"/>
      <c r="E40" s="42"/>
      <c r="F40" s="42"/>
    </row>
    <row r="41">
      <c r="B41" s="18"/>
      <c r="C41" s="18"/>
      <c r="D41" s="18"/>
      <c r="E41" s="42"/>
      <c r="F41" s="42"/>
    </row>
    <row r="42">
      <c r="B42" s="18"/>
      <c r="C42" s="18"/>
      <c r="D42" s="18"/>
      <c r="E42" s="42"/>
      <c r="F42" s="42"/>
    </row>
    <row r="43">
      <c r="B43" s="18"/>
      <c r="C43" s="18"/>
      <c r="D43" s="18"/>
      <c r="E43" s="42"/>
      <c r="F43" s="42"/>
    </row>
    <row r="44">
      <c r="B44" s="18"/>
      <c r="C44" s="18"/>
      <c r="D44" s="18"/>
      <c r="E44" s="42"/>
      <c r="F44" s="42"/>
    </row>
    <row r="45">
      <c r="B45" s="18"/>
      <c r="C45" s="18"/>
      <c r="D45" s="18"/>
      <c r="E45" s="42"/>
      <c r="F45" s="42"/>
    </row>
    <row r="46">
      <c r="B46" s="18"/>
      <c r="C46" s="18"/>
      <c r="D46" s="18"/>
      <c r="E46" s="42"/>
      <c r="F46" s="42"/>
    </row>
    <row r="47">
      <c r="B47" s="18"/>
      <c r="C47" s="18"/>
      <c r="D47" s="18"/>
      <c r="E47" s="42"/>
      <c r="F47" s="42"/>
    </row>
    <row r="48">
      <c r="B48" s="18"/>
      <c r="C48" s="18"/>
      <c r="D48" s="18"/>
      <c r="E48" s="42"/>
      <c r="F48" s="42"/>
    </row>
    <row r="49">
      <c r="B49" s="18"/>
      <c r="C49" s="18"/>
      <c r="D49" s="18"/>
      <c r="E49" s="42"/>
      <c r="F49" s="42"/>
    </row>
    <row r="50">
      <c r="B50" s="18"/>
      <c r="C50" s="18"/>
      <c r="D50" s="18"/>
      <c r="E50" s="42"/>
      <c r="F50" s="42"/>
    </row>
    <row r="51">
      <c r="B51" s="18"/>
      <c r="C51" s="18"/>
      <c r="D51" s="18"/>
      <c r="E51" s="42"/>
      <c r="F51" s="42"/>
    </row>
    <row r="52">
      <c r="B52" s="18"/>
      <c r="C52" s="18"/>
      <c r="D52" s="18"/>
      <c r="E52" s="42"/>
      <c r="F52" s="42"/>
    </row>
    <row r="53">
      <c r="B53" s="18"/>
      <c r="C53" s="18"/>
      <c r="D53" s="18"/>
      <c r="E53" s="42"/>
      <c r="F53" s="42"/>
    </row>
    <row r="54">
      <c r="B54" s="18"/>
      <c r="C54" s="18"/>
      <c r="D54" s="18"/>
      <c r="E54" s="42"/>
      <c r="F54" s="42"/>
    </row>
    <row r="55">
      <c r="B55" s="18"/>
      <c r="C55" s="18"/>
      <c r="D55" s="18"/>
      <c r="E55" s="42"/>
      <c r="F55" s="42"/>
    </row>
    <row r="56">
      <c r="B56" s="18"/>
      <c r="C56" s="18"/>
      <c r="D56" s="18"/>
      <c r="E56" s="42"/>
      <c r="F56" s="42"/>
    </row>
    <row r="57">
      <c r="B57" s="18"/>
      <c r="C57" s="18"/>
      <c r="D57" s="18"/>
      <c r="E57" s="42"/>
      <c r="F57" s="42"/>
    </row>
    <row r="58">
      <c r="B58" s="18"/>
      <c r="C58" s="18"/>
      <c r="D58" s="18"/>
      <c r="E58" s="42"/>
      <c r="F58" s="42"/>
    </row>
    <row r="59">
      <c r="B59" s="18"/>
      <c r="C59" s="18"/>
      <c r="D59" s="18"/>
      <c r="E59" s="42"/>
      <c r="F59" s="42"/>
    </row>
    <row r="60">
      <c r="B60" s="18"/>
      <c r="C60" s="18"/>
      <c r="D60" s="18"/>
      <c r="E60" s="42"/>
      <c r="F60" s="42"/>
    </row>
    <row r="61">
      <c r="B61" s="18"/>
      <c r="C61" s="18"/>
      <c r="D61" s="18"/>
      <c r="E61" s="42"/>
      <c r="F61" s="42"/>
    </row>
    <row r="62">
      <c r="B62" s="18"/>
      <c r="C62" s="18"/>
      <c r="D62" s="18"/>
      <c r="E62" s="42"/>
      <c r="F62" s="42"/>
    </row>
    <row r="63">
      <c r="B63" s="18"/>
      <c r="C63" s="18"/>
      <c r="D63" s="18"/>
      <c r="E63" s="42"/>
      <c r="F63" s="42"/>
    </row>
    <row r="64">
      <c r="B64" s="18"/>
      <c r="C64" s="18"/>
      <c r="D64" s="18"/>
      <c r="E64" s="42"/>
      <c r="F64" s="42"/>
    </row>
    <row r="65">
      <c r="B65" s="18"/>
      <c r="C65" s="18"/>
      <c r="D65" s="18"/>
      <c r="E65" s="42"/>
      <c r="F65" s="42"/>
    </row>
    <row r="66">
      <c r="B66" s="18"/>
      <c r="C66" s="18"/>
      <c r="D66" s="18"/>
      <c r="E66" s="42"/>
      <c r="F66" s="42"/>
    </row>
    <row r="67">
      <c r="B67" s="18"/>
      <c r="C67" s="18"/>
      <c r="D67" s="18"/>
      <c r="E67" s="42"/>
      <c r="F67" s="42"/>
    </row>
    <row r="68">
      <c r="B68" s="18"/>
      <c r="C68" s="18"/>
      <c r="D68" s="18"/>
      <c r="E68" s="42"/>
      <c r="F68" s="42"/>
    </row>
    <row r="69">
      <c r="B69" s="18"/>
      <c r="C69" s="18"/>
      <c r="D69" s="18"/>
      <c r="E69" s="42"/>
      <c r="F69" s="42"/>
    </row>
    <row r="70">
      <c r="B70" s="18"/>
      <c r="C70" s="18"/>
      <c r="D70" s="18"/>
      <c r="E70" s="42"/>
      <c r="F70" s="42"/>
    </row>
    <row r="71">
      <c r="B71" s="18"/>
      <c r="C71" s="18"/>
      <c r="D71" s="18"/>
      <c r="E71" s="42"/>
      <c r="F71" s="42"/>
    </row>
    <row r="72">
      <c r="B72" s="18"/>
      <c r="C72" s="18"/>
      <c r="D72" s="18"/>
      <c r="E72" s="42"/>
      <c r="F72" s="42"/>
    </row>
    <row r="73">
      <c r="B73" s="18"/>
      <c r="C73" s="18"/>
      <c r="D73" s="18"/>
      <c r="E73" s="42"/>
      <c r="F73" s="42"/>
    </row>
    <row r="74">
      <c r="B74" s="18"/>
      <c r="C74" s="18"/>
      <c r="D74" s="18"/>
      <c r="E74" s="42"/>
      <c r="F74" s="42"/>
    </row>
    <row r="75">
      <c r="B75" s="18"/>
      <c r="C75" s="18"/>
      <c r="D75" s="18"/>
      <c r="E75" s="42"/>
      <c r="F75" s="42"/>
    </row>
    <row r="76">
      <c r="B76" s="18"/>
      <c r="C76" s="18"/>
      <c r="D76" s="18"/>
      <c r="E76" s="42"/>
      <c r="F76" s="42"/>
    </row>
    <row r="77">
      <c r="B77" s="18"/>
      <c r="C77" s="18"/>
      <c r="D77" s="18"/>
      <c r="E77" s="42"/>
      <c r="F77" s="42"/>
    </row>
    <row r="78">
      <c r="B78" s="18"/>
      <c r="C78" s="18"/>
      <c r="D78" s="18"/>
      <c r="E78" s="42"/>
      <c r="F78" s="42"/>
    </row>
    <row r="79">
      <c r="B79" s="18"/>
      <c r="C79" s="18"/>
      <c r="D79" s="18"/>
      <c r="E79" s="42"/>
      <c r="F79" s="42"/>
    </row>
    <row r="80">
      <c r="B80" s="18"/>
      <c r="C80" s="18"/>
      <c r="D80" s="18"/>
      <c r="E80" s="42"/>
      <c r="F80" s="42"/>
    </row>
    <row r="81">
      <c r="B81" s="18"/>
      <c r="C81" s="18"/>
      <c r="D81" s="18"/>
      <c r="E81" s="42"/>
      <c r="F81" s="42"/>
    </row>
    <row r="82">
      <c r="B82" s="18"/>
      <c r="C82" s="18"/>
      <c r="D82" s="18"/>
      <c r="E82" s="42"/>
      <c r="F82" s="42"/>
    </row>
    <row r="83">
      <c r="B83" s="18"/>
      <c r="C83" s="18"/>
      <c r="D83" s="18"/>
      <c r="E83" s="42"/>
      <c r="F83" s="42"/>
    </row>
    <row r="84">
      <c r="B84" s="18"/>
      <c r="C84" s="18"/>
      <c r="D84" s="18"/>
      <c r="E84" s="42"/>
      <c r="F84" s="42"/>
    </row>
    <row r="85">
      <c r="B85" s="18"/>
      <c r="C85" s="18"/>
      <c r="D85" s="18"/>
      <c r="E85" s="42"/>
      <c r="F85" s="42"/>
    </row>
    <row r="86">
      <c r="B86" s="18"/>
      <c r="C86" s="18"/>
      <c r="D86" s="18"/>
      <c r="E86" s="42"/>
      <c r="F86" s="42"/>
    </row>
    <row r="87">
      <c r="B87" s="18"/>
      <c r="C87" s="18"/>
      <c r="D87" s="18"/>
      <c r="E87" s="42"/>
      <c r="F87" s="42"/>
    </row>
    <row r="88">
      <c r="B88" s="18"/>
      <c r="C88" s="18"/>
      <c r="D88" s="18"/>
      <c r="E88" s="42"/>
      <c r="F88" s="42"/>
    </row>
    <row r="89">
      <c r="B89" s="18"/>
      <c r="C89" s="18"/>
      <c r="D89" s="18"/>
      <c r="E89" s="42"/>
      <c r="F89" s="42"/>
    </row>
    <row r="90">
      <c r="B90" s="18"/>
      <c r="C90" s="18"/>
      <c r="D90" s="18"/>
      <c r="E90" s="42"/>
      <c r="F90" s="42"/>
    </row>
    <row r="91">
      <c r="B91" s="18"/>
      <c r="C91" s="18"/>
      <c r="D91" s="18"/>
      <c r="E91" s="42"/>
      <c r="F91" s="42"/>
    </row>
    <row r="92">
      <c r="B92" s="18"/>
      <c r="C92" s="18"/>
      <c r="D92" s="18"/>
      <c r="E92" s="42"/>
      <c r="F92" s="42"/>
    </row>
    <row r="93">
      <c r="B93" s="18"/>
      <c r="C93" s="18"/>
      <c r="D93" s="18"/>
      <c r="E93" s="42"/>
      <c r="F93" s="42"/>
    </row>
    <row r="94">
      <c r="B94" s="18"/>
      <c r="C94" s="18"/>
      <c r="D94" s="18"/>
      <c r="E94" s="42"/>
      <c r="F94" s="42"/>
    </row>
    <row r="95">
      <c r="B95" s="18"/>
      <c r="C95" s="18"/>
      <c r="D95" s="18"/>
      <c r="E95" s="42"/>
      <c r="F95" s="42"/>
    </row>
    <row r="96">
      <c r="B96" s="18"/>
      <c r="C96" s="18"/>
      <c r="D96" s="18"/>
      <c r="E96" s="42"/>
      <c r="F96" s="42"/>
    </row>
    <row r="97">
      <c r="B97" s="18"/>
      <c r="C97" s="18"/>
      <c r="D97" s="18"/>
      <c r="E97" s="42"/>
      <c r="F97" s="42"/>
    </row>
    <row r="98">
      <c r="B98" s="18"/>
      <c r="C98" s="18"/>
      <c r="D98" s="18"/>
      <c r="E98" s="42"/>
      <c r="F98" s="42"/>
    </row>
    <row r="99">
      <c r="B99" s="18"/>
      <c r="C99" s="18"/>
      <c r="D99" s="18"/>
      <c r="E99" s="42"/>
      <c r="F99" s="42"/>
    </row>
    <row r="100">
      <c r="B100" s="18"/>
      <c r="C100" s="18"/>
      <c r="D100" s="18"/>
      <c r="E100" s="42"/>
      <c r="F100" s="42"/>
    </row>
    <row r="101">
      <c r="B101" s="18"/>
      <c r="C101" s="18"/>
      <c r="D101" s="18"/>
      <c r="E101" s="42"/>
      <c r="F101" s="42"/>
    </row>
    <row r="102">
      <c r="B102" s="18"/>
      <c r="C102" s="18"/>
      <c r="D102" s="18"/>
      <c r="E102" s="42"/>
      <c r="F102" s="42"/>
    </row>
    <row r="103">
      <c r="B103" s="18"/>
      <c r="C103" s="18"/>
      <c r="D103" s="18"/>
      <c r="E103" s="42"/>
      <c r="F103" s="42"/>
    </row>
    <row r="104">
      <c r="B104" s="18"/>
      <c r="C104" s="18"/>
      <c r="D104" s="18"/>
      <c r="E104" s="42"/>
      <c r="F104" s="42"/>
    </row>
    <row r="105">
      <c r="B105" s="18"/>
      <c r="C105" s="18"/>
      <c r="D105" s="18"/>
      <c r="E105" s="42"/>
      <c r="F105" s="42"/>
    </row>
    <row r="106">
      <c r="B106" s="18"/>
      <c r="C106" s="18"/>
      <c r="D106" s="18"/>
      <c r="E106" s="42"/>
      <c r="F106" s="42"/>
    </row>
    <row r="107">
      <c r="B107" s="18"/>
      <c r="C107" s="18"/>
      <c r="D107" s="18"/>
      <c r="E107" s="42"/>
      <c r="F107" s="42"/>
    </row>
    <row r="108">
      <c r="B108" s="18"/>
      <c r="C108" s="18"/>
      <c r="D108" s="18"/>
      <c r="E108" s="42"/>
      <c r="F108" s="42"/>
    </row>
    <row r="109">
      <c r="B109" s="18"/>
      <c r="C109" s="18"/>
      <c r="D109" s="18"/>
      <c r="E109" s="42"/>
      <c r="F109" s="42"/>
    </row>
    <row r="110">
      <c r="B110" s="18"/>
      <c r="C110" s="18"/>
      <c r="D110" s="18"/>
      <c r="E110" s="42"/>
      <c r="F110" s="42"/>
    </row>
    <row r="111">
      <c r="B111" s="18"/>
      <c r="C111" s="18"/>
      <c r="D111" s="18"/>
      <c r="E111" s="42"/>
      <c r="F111" s="42"/>
    </row>
    <row r="112">
      <c r="B112" s="18"/>
      <c r="C112" s="18"/>
      <c r="D112" s="18"/>
      <c r="E112" s="42"/>
      <c r="F112" s="42"/>
    </row>
    <row r="113">
      <c r="B113" s="18"/>
      <c r="C113" s="18"/>
      <c r="D113" s="18"/>
      <c r="E113" s="42"/>
      <c r="F113" s="42"/>
    </row>
    <row r="114">
      <c r="B114" s="18"/>
      <c r="C114" s="18"/>
      <c r="D114" s="18"/>
      <c r="E114" s="42"/>
      <c r="F114" s="42"/>
    </row>
    <row r="115">
      <c r="B115" s="18"/>
      <c r="C115" s="18"/>
      <c r="D115" s="18"/>
      <c r="E115" s="42"/>
      <c r="F115" s="42"/>
    </row>
    <row r="116">
      <c r="B116" s="18"/>
      <c r="C116" s="18"/>
      <c r="D116" s="18"/>
      <c r="E116" s="42"/>
      <c r="F116" s="42"/>
    </row>
    <row r="117">
      <c r="B117" s="18"/>
      <c r="C117" s="18"/>
      <c r="D117" s="18"/>
      <c r="E117" s="42"/>
      <c r="F117" s="42"/>
    </row>
    <row r="118">
      <c r="B118" s="18"/>
      <c r="C118" s="18"/>
      <c r="D118" s="18"/>
      <c r="E118" s="42"/>
      <c r="F118" s="42"/>
    </row>
    <row r="119">
      <c r="B119" s="18"/>
      <c r="C119" s="18"/>
      <c r="D119" s="18"/>
      <c r="E119" s="42"/>
      <c r="F119" s="42"/>
    </row>
    <row r="120">
      <c r="B120" s="18"/>
      <c r="C120" s="18"/>
      <c r="D120" s="18"/>
      <c r="E120" s="42"/>
      <c r="F120" s="42"/>
    </row>
    <row r="121">
      <c r="B121" s="18"/>
      <c r="C121" s="18"/>
      <c r="D121" s="18"/>
      <c r="E121" s="42"/>
      <c r="F121" s="42"/>
    </row>
    <row r="122">
      <c r="B122" s="18"/>
      <c r="C122" s="18"/>
      <c r="D122" s="18"/>
      <c r="E122" s="42"/>
      <c r="F122" s="42"/>
    </row>
    <row r="123">
      <c r="B123" s="18"/>
      <c r="C123" s="18"/>
      <c r="D123" s="18"/>
      <c r="E123" s="42"/>
      <c r="F123" s="42"/>
    </row>
    <row r="124">
      <c r="B124" s="18"/>
      <c r="C124" s="18"/>
      <c r="D124" s="18"/>
      <c r="E124" s="42"/>
      <c r="F124" s="42"/>
    </row>
    <row r="125">
      <c r="B125" s="18"/>
      <c r="C125" s="18"/>
      <c r="D125" s="18"/>
      <c r="E125" s="42"/>
      <c r="F125" s="42"/>
    </row>
    <row r="126">
      <c r="B126" s="18"/>
      <c r="C126" s="18"/>
      <c r="D126" s="18"/>
      <c r="E126" s="42"/>
      <c r="F126" s="42"/>
    </row>
    <row r="127">
      <c r="B127" s="18"/>
      <c r="C127" s="18"/>
      <c r="D127" s="18"/>
      <c r="E127" s="42"/>
      <c r="F127" s="42"/>
    </row>
    <row r="128">
      <c r="B128" s="18"/>
      <c r="C128" s="18"/>
      <c r="D128" s="18"/>
      <c r="E128" s="42"/>
      <c r="F128" s="42"/>
    </row>
    <row r="129">
      <c r="B129" s="18"/>
      <c r="C129" s="18"/>
      <c r="D129" s="18"/>
      <c r="E129" s="42"/>
      <c r="F129" s="42"/>
    </row>
    <row r="130">
      <c r="B130" s="18"/>
      <c r="C130" s="18"/>
      <c r="D130" s="18"/>
      <c r="E130" s="42"/>
      <c r="F130" s="42"/>
    </row>
    <row r="131">
      <c r="B131" s="18"/>
      <c r="C131" s="18"/>
      <c r="D131" s="18"/>
      <c r="E131" s="42"/>
      <c r="F131" s="42"/>
    </row>
    <row r="132">
      <c r="B132" s="18"/>
      <c r="C132" s="18"/>
      <c r="D132" s="18"/>
      <c r="E132" s="42"/>
      <c r="F132" s="42"/>
    </row>
    <row r="133">
      <c r="B133" s="18"/>
      <c r="C133" s="18"/>
      <c r="D133" s="18"/>
      <c r="E133" s="42"/>
      <c r="F133" s="42"/>
    </row>
    <row r="134">
      <c r="B134" s="18"/>
      <c r="C134" s="18"/>
      <c r="D134" s="18"/>
      <c r="E134" s="42"/>
      <c r="F134" s="42"/>
    </row>
    <row r="135">
      <c r="B135" s="18"/>
      <c r="C135" s="18"/>
      <c r="D135" s="18"/>
      <c r="E135" s="42"/>
      <c r="F135" s="42"/>
    </row>
    <row r="136">
      <c r="B136" s="18"/>
      <c r="C136" s="18"/>
      <c r="D136" s="18"/>
      <c r="E136" s="42"/>
      <c r="F136" s="42"/>
    </row>
    <row r="137">
      <c r="B137" s="18"/>
      <c r="C137" s="18"/>
      <c r="D137" s="18"/>
      <c r="E137" s="42"/>
      <c r="F137" s="42"/>
    </row>
    <row r="138">
      <c r="B138" s="18"/>
      <c r="C138" s="18"/>
      <c r="D138" s="18"/>
      <c r="E138" s="42"/>
      <c r="F138" s="42"/>
    </row>
    <row r="139">
      <c r="B139" s="18"/>
      <c r="C139" s="18"/>
      <c r="D139" s="18"/>
      <c r="E139" s="42"/>
      <c r="F139" s="42"/>
    </row>
    <row r="140">
      <c r="B140" s="18"/>
      <c r="C140" s="18"/>
      <c r="D140" s="18"/>
      <c r="E140" s="42"/>
      <c r="F140" s="42"/>
    </row>
    <row r="141">
      <c r="B141" s="18"/>
      <c r="C141" s="18"/>
      <c r="D141" s="18"/>
      <c r="E141" s="42"/>
      <c r="F141" s="42"/>
    </row>
    <row r="142">
      <c r="B142" s="18"/>
      <c r="C142" s="18"/>
      <c r="D142" s="18"/>
      <c r="E142" s="42"/>
      <c r="F142" s="42"/>
    </row>
    <row r="143">
      <c r="B143" s="18"/>
      <c r="C143" s="18"/>
      <c r="D143" s="18"/>
      <c r="E143" s="42"/>
      <c r="F143" s="42"/>
    </row>
    <row r="144">
      <c r="B144" s="18"/>
      <c r="C144" s="18"/>
      <c r="D144" s="18"/>
      <c r="E144" s="42"/>
      <c r="F144" s="42"/>
    </row>
    <row r="145">
      <c r="B145" s="18"/>
      <c r="C145" s="18"/>
      <c r="D145" s="18"/>
      <c r="E145" s="42"/>
      <c r="F145" s="42"/>
    </row>
    <row r="146">
      <c r="B146" s="18"/>
      <c r="C146" s="18"/>
      <c r="D146" s="18"/>
      <c r="E146" s="42"/>
      <c r="F146" s="42"/>
    </row>
    <row r="147">
      <c r="B147" s="18"/>
      <c r="C147" s="18"/>
      <c r="D147" s="18"/>
      <c r="E147" s="42"/>
      <c r="F147" s="42"/>
    </row>
    <row r="148">
      <c r="B148" s="18"/>
      <c r="C148" s="18"/>
      <c r="D148" s="18"/>
      <c r="E148" s="42"/>
      <c r="F148" s="42"/>
    </row>
    <row r="149">
      <c r="B149" s="18"/>
      <c r="C149" s="18"/>
      <c r="D149" s="18"/>
      <c r="E149" s="42"/>
      <c r="F149" s="42"/>
    </row>
    <row r="150">
      <c r="B150" s="18"/>
      <c r="C150" s="18"/>
      <c r="D150" s="18"/>
      <c r="E150" s="42"/>
      <c r="F150" s="42"/>
    </row>
    <row r="151">
      <c r="B151" s="18"/>
      <c r="C151" s="18"/>
      <c r="D151" s="18"/>
      <c r="E151" s="42"/>
      <c r="F151" s="42"/>
    </row>
    <row r="152">
      <c r="B152" s="18"/>
      <c r="C152" s="18"/>
      <c r="D152" s="18"/>
      <c r="E152" s="42"/>
      <c r="F152" s="42"/>
    </row>
    <row r="153">
      <c r="B153" s="18"/>
      <c r="C153" s="18"/>
      <c r="D153" s="18"/>
      <c r="E153" s="42"/>
      <c r="F153" s="42"/>
    </row>
    <row r="154">
      <c r="B154" s="18"/>
      <c r="C154" s="18"/>
      <c r="D154" s="18"/>
      <c r="E154" s="42"/>
      <c r="F154" s="42"/>
    </row>
    <row r="155">
      <c r="B155" s="18"/>
      <c r="C155" s="18"/>
      <c r="D155" s="18"/>
      <c r="E155" s="42"/>
      <c r="F155" s="42"/>
    </row>
    <row r="156">
      <c r="B156" s="18"/>
      <c r="C156" s="18"/>
      <c r="D156" s="18"/>
      <c r="E156" s="42"/>
      <c r="F156" s="42"/>
    </row>
    <row r="157">
      <c r="B157" s="18"/>
      <c r="C157" s="18"/>
      <c r="D157" s="18"/>
      <c r="E157" s="42"/>
      <c r="F157" s="42"/>
    </row>
    <row r="158">
      <c r="B158" s="18"/>
      <c r="C158" s="18"/>
      <c r="D158" s="18"/>
      <c r="E158" s="42"/>
      <c r="F158" s="42"/>
    </row>
    <row r="159">
      <c r="B159" s="18"/>
      <c r="C159" s="18"/>
      <c r="D159" s="18"/>
      <c r="E159" s="42"/>
      <c r="F159" s="42"/>
    </row>
    <row r="160">
      <c r="B160" s="18"/>
      <c r="C160" s="18"/>
      <c r="D160" s="18"/>
      <c r="E160" s="42"/>
      <c r="F160" s="42"/>
    </row>
    <row r="161">
      <c r="B161" s="18"/>
      <c r="C161" s="18"/>
      <c r="D161" s="18"/>
      <c r="E161" s="42"/>
      <c r="F161" s="42"/>
    </row>
    <row r="162">
      <c r="B162" s="18"/>
      <c r="C162" s="18"/>
      <c r="D162" s="18"/>
      <c r="E162" s="42"/>
      <c r="F162" s="42"/>
    </row>
    <row r="163">
      <c r="B163" s="18"/>
      <c r="C163" s="18"/>
      <c r="D163" s="18"/>
      <c r="E163" s="42"/>
      <c r="F163" s="42"/>
    </row>
    <row r="164">
      <c r="B164" s="18"/>
      <c r="C164" s="18"/>
      <c r="D164" s="18"/>
      <c r="E164" s="42"/>
      <c r="F164" s="42"/>
    </row>
    <row r="165">
      <c r="B165" s="18"/>
      <c r="C165" s="18"/>
      <c r="D165" s="18"/>
      <c r="E165" s="42"/>
      <c r="F165" s="42"/>
    </row>
    <row r="166">
      <c r="B166" s="18"/>
      <c r="C166" s="18"/>
      <c r="D166" s="18"/>
      <c r="E166" s="42"/>
      <c r="F166" s="42"/>
    </row>
    <row r="167">
      <c r="B167" s="18"/>
      <c r="C167" s="18"/>
      <c r="D167" s="18"/>
      <c r="E167" s="42"/>
      <c r="F167" s="42"/>
    </row>
    <row r="168">
      <c r="B168" s="18"/>
      <c r="C168" s="18"/>
      <c r="D168" s="18"/>
      <c r="E168" s="42"/>
      <c r="F168" s="42"/>
    </row>
    <row r="169">
      <c r="B169" s="18"/>
      <c r="C169" s="18"/>
      <c r="D169" s="18"/>
      <c r="E169" s="42"/>
      <c r="F169" s="42"/>
    </row>
    <row r="170">
      <c r="B170" s="18"/>
      <c r="C170" s="18"/>
      <c r="D170" s="18"/>
      <c r="E170" s="42"/>
      <c r="F170" s="42"/>
    </row>
    <row r="171">
      <c r="B171" s="18"/>
      <c r="C171" s="18"/>
      <c r="D171" s="18"/>
      <c r="E171" s="42"/>
      <c r="F171" s="42"/>
    </row>
    <row r="172">
      <c r="B172" s="18"/>
      <c r="C172" s="18"/>
      <c r="D172" s="18"/>
      <c r="E172" s="42"/>
      <c r="F172" s="42"/>
    </row>
    <row r="173">
      <c r="B173" s="18"/>
      <c r="C173" s="18"/>
      <c r="D173" s="18"/>
      <c r="E173" s="42"/>
      <c r="F173" s="42"/>
    </row>
    <row r="174">
      <c r="B174" s="18"/>
      <c r="C174" s="18"/>
      <c r="D174" s="18"/>
      <c r="E174" s="42"/>
      <c r="F174" s="42"/>
    </row>
    <row r="175">
      <c r="B175" s="18"/>
      <c r="C175" s="18"/>
      <c r="D175" s="18"/>
      <c r="E175" s="42"/>
      <c r="F175" s="42"/>
    </row>
    <row r="176">
      <c r="B176" s="18"/>
      <c r="C176" s="18"/>
      <c r="D176" s="18"/>
      <c r="E176" s="42"/>
      <c r="F176" s="42"/>
    </row>
    <row r="177">
      <c r="B177" s="18"/>
      <c r="C177" s="18"/>
      <c r="D177" s="18"/>
      <c r="E177" s="42"/>
      <c r="F177" s="42"/>
    </row>
    <row r="178">
      <c r="B178" s="18"/>
      <c r="C178" s="18"/>
      <c r="D178" s="18"/>
      <c r="E178" s="42"/>
      <c r="F178" s="42"/>
    </row>
    <row r="179">
      <c r="B179" s="18"/>
      <c r="C179" s="18"/>
      <c r="D179" s="18"/>
      <c r="E179" s="42"/>
      <c r="F179" s="42"/>
    </row>
    <row r="180">
      <c r="B180" s="18"/>
      <c r="C180" s="18"/>
      <c r="D180" s="18"/>
      <c r="E180" s="42"/>
      <c r="F180" s="42"/>
    </row>
    <row r="181">
      <c r="B181" s="18"/>
      <c r="C181" s="18"/>
      <c r="D181" s="18"/>
      <c r="E181" s="42"/>
      <c r="F181" s="42"/>
    </row>
    <row r="182">
      <c r="B182" s="18"/>
      <c r="C182" s="18"/>
      <c r="D182" s="18"/>
      <c r="E182" s="42"/>
      <c r="F182" s="42"/>
    </row>
    <row r="183">
      <c r="B183" s="18"/>
      <c r="C183" s="18"/>
      <c r="D183" s="18"/>
      <c r="E183" s="42"/>
      <c r="F183" s="42"/>
    </row>
    <row r="184">
      <c r="B184" s="18"/>
      <c r="C184" s="18"/>
      <c r="D184" s="18"/>
      <c r="E184" s="42"/>
      <c r="F184" s="42"/>
    </row>
    <row r="185">
      <c r="B185" s="18"/>
      <c r="C185" s="18"/>
      <c r="D185" s="18"/>
      <c r="E185" s="42"/>
      <c r="F185" s="42"/>
    </row>
    <row r="186">
      <c r="B186" s="18"/>
      <c r="C186" s="18"/>
      <c r="D186" s="18"/>
      <c r="E186" s="42"/>
      <c r="F186" s="42"/>
    </row>
    <row r="187">
      <c r="B187" s="18"/>
      <c r="C187" s="18"/>
      <c r="D187" s="18"/>
      <c r="E187" s="42"/>
      <c r="F187" s="42"/>
    </row>
    <row r="188">
      <c r="B188" s="18"/>
      <c r="C188" s="18"/>
      <c r="D188" s="18"/>
      <c r="E188" s="42"/>
      <c r="F188" s="42"/>
    </row>
    <row r="189">
      <c r="B189" s="18"/>
      <c r="C189" s="18"/>
      <c r="D189" s="18"/>
      <c r="E189" s="42"/>
      <c r="F189" s="42"/>
    </row>
    <row r="190">
      <c r="B190" s="18"/>
      <c r="C190" s="18"/>
      <c r="D190" s="18"/>
      <c r="E190" s="42"/>
      <c r="F190" s="42"/>
    </row>
    <row r="191">
      <c r="B191" s="18"/>
      <c r="C191" s="18"/>
      <c r="D191" s="18"/>
      <c r="E191" s="42"/>
      <c r="F191" s="42"/>
    </row>
    <row r="192">
      <c r="B192" s="18"/>
      <c r="C192" s="18"/>
      <c r="D192" s="18"/>
      <c r="E192" s="42"/>
      <c r="F192" s="42"/>
    </row>
    <row r="193">
      <c r="B193" s="18"/>
      <c r="C193" s="18"/>
      <c r="D193" s="18"/>
      <c r="E193" s="42"/>
      <c r="F193" s="42"/>
    </row>
    <row r="194">
      <c r="B194" s="18"/>
      <c r="C194" s="18"/>
      <c r="D194" s="18"/>
      <c r="E194" s="42"/>
      <c r="F194" s="42"/>
    </row>
    <row r="195">
      <c r="B195" s="18"/>
      <c r="C195" s="18"/>
      <c r="D195" s="18"/>
      <c r="E195" s="42"/>
      <c r="F195" s="42"/>
    </row>
    <row r="196">
      <c r="B196" s="18"/>
      <c r="C196" s="18"/>
      <c r="D196" s="18"/>
      <c r="E196" s="42"/>
      <c r="F196" s="42"/>
    </row>
    <row r="197">
      <c r="B197" s="18"/>
      <c r="C197" s="18"/>
      <c r="D197" s="18"/>
      <c r="E197" s="42"/>
      <c r="F197" s="42"/>
    </row>
    <row r="198">
      <c r="B198" s="18"/>
      <c r="C198" s="18"/>
      <c r="D198" s="18"/>
      <c r="E198" s="42"/>
      <c r="F198" s="42"/>
    </row>
    <row r="199">
      <c r="B199" s="18"/>
      <c r="C199" s="18"/>
      <c r="D199" s="18"/>
      <c r="E199" s="42"/>
      <c r="F199" s="42"/>
    </row>
    <row r="200">
      <c r="B200" s="18"/>
      <c r="C200" s="18"/>
      <c r="D200" s="18"/>
      <c r="E200" s="42"/>
      <c r="F200" s="42"/>
    </row>
    <row r="201">
      <c r="B201" s="18"/>
      <c r="C201" s="18"/>
      <c r="D201" s="18"/>
      <c r="E201" s="42"/>
      <c r="F201" s="42"/>
    </row>
    <row r="202">
      <c r="B202" s="18"/>
      <c r="C202" s="18"/>
      <c r="D202" s="18"/>
      <c r="E202" s="42"/>
      <c r="F202" s="42"/>
    </row>
    <row r="203">
      <c r="B203" s="18"/>
      <c r="C203" s="18"/>
      <c r="D203" s="18"/>
      <c r="E203" s="42"/>
      <c r="F203" s="42"/>
    </row>
    <row r="204">
      <c r="B204" s="18"/>
      <c r="C204" s="18"/>
      <c r="D204" s="18"/>
      <c r="E204" s="42"/>
      <c r="F204" s="42"/>
    </row>
    <row r="205">
      <c r="B205" s="18"/>
      <c r="C205" s="18"/>
      <c r="D205" s="18"/>
      <c r="E205" s="42"/>
      <c r="F205" s="42"/>
    </row>
    <row r="206">
      <c r="B206" s="18"/>
      <c r="C206" s="18"/>
      <c r="D206" s="18"/>
      <c r="E206" s="42"/>
      <c r="F206" s="42"/>
    </row>
    <row r="207">
      <c r="B207" s="18"/>
      <c r="C207" s="18"/>
      <c r="D207" s="18"/>
      <c r="E207" s="42"/>
      <c r="F207" s="42"/>
    </row>
    <row r="208">
      <c r="B208" s="18"/>
      <c r="C208" s="18"/>
      <c r="D208" s="18"/>
      <c r="E208" s="42"/>
      <c r="F208" s="42"/>
    </row>
    <row r="209">
      <c r="B209" s="18"/>
      <c r="C209" s="18"/>
      <c r="D209" s="18"/>
      <c r="E209" s="42"/>
      <c r="F209" s="42"/>
    </row>
    <row r="210">
      <c r="B210" s="18"/>
      <c r="C210" s="18"/>
      <c r="D210" s="18"/>
      <c r="E210" s="42"/>
      <c r="F210" s="42"/>
    </row>
    <row r="211">
      <c r="B211" s="18"/>
      <c r="C211" s="18"/>
      <c r="D211" s="18"/>
      <c r="E211" s="42"/>
      <c r="F211" s="42"/>
    </row>
    <row r="212">
      <c r="B212" s="18"/>
      <c r="C212" s="18"/>
      <c r="D212" s="18"/>
      <c r="E212" s="42"/>
      <c r="F212" s="42"/>
    </row>
    <row r="213">
      <c r="B213" s="18"/>
      <c r="C213" s="18"/>
      <c r="D213" s="18"/>
      <c r="E213" s="42"/>
      <c r="F213" s="42"/>
    </row>
    <row r="214">
      <c r="B214" s="18"/>
      <c r="C214" s="18"/>
      <c r="D214" s="18"/>
      <c r="E214" s="42"/>
      <c r="F214" s="42"/>
    </row>
    <row r="215">
      <c r="B215" s="18"/>
      <c r="C215" s="18"/>
      <c r="D215" s="18"/>
      <c r="E215" s="42"/>
      <c r="F215" s="42"/>
    </row>
    <row r="216">
      <c r="B216" s="18"/>
      <c r="C216" s="18"/>
      <c r="D216" s="18"/>
      <c r="E216" s="42"/>
      <c r="F216" s="42"/>
    </row>
    <row r="217">
      <c r="B217" s="18"/>
      <c r="C217" s="18"/>
      <c r="D217" s="18"/>
      <c r="E217" s="42"/>
      <c r="F217" s="42"/>
    </row>
    <row r="218">
      <c r="B218" s="18"/>
      <c r="C218" s="18"/>
      <c r="D218" s="18"/>
      <c r="E218" s="42"/>
      <c r="F218" s="42"/>
    </row>
    <row r="219">
      <c r="B219" s="18"/>
      <c r="C219" s="18"/>
      <c r="D219" s="18"/>
      <c r="E219" s="42"/>
      <c r="F219" s="42"/>
    </row>
    <row r="220">
      <c r="B220" s="18"/>
      <c r="C220" s="18"/>
      <c r="D220" s="18"/>
      <c r="E220" s="42"/>
      <c r="F220" s="42"/>
    </row>
    <row r="221">
      <c r="B221" s="18"/>
      <c r="C221" s="18"/>
      <c r="D221" s="18"/>
      <c r="E221" s="42"/>
      <c r="F221" s="42"/>
    </row>
    <row r="222">
      <c r="B222" s="18"/>
      <c r="C222" s="18"/>
      <c r="D222" s="18"/>
      <c r="E222" s="42"/>
      <c r="F222" s="42"/>
    </row>
    <row r="223">
      <c r="B223" s="18"/>
      <c r="C223" s="18"/>
      <c r="D223" s="18"/>
      <c r="E223" s="42"/>
      <c r="F223" s="42"/>
    </row>
    <row r="224">
      <c r="B224" s="18"/>
      <c r="C224" s="18"/>
      <c r="D224" s="18"/>
      <c r="E224" s="42"/>
      <c r="F224" s="42"/>
    </row>
    <row r="225">
      <c r="B225" s="18"/>
      <c r="C225" s="18"/>
      <c r="D225" s="18"/>
      <c r="E225" s="42"/>
      <c r="F225" s="42"/>
    </row>
    <row r="226">
      <c r="B226" s="18"/>
      <c r="C226" s="18"/>
      <c r="D226" s="18"/>
      <c r="E226" s="42"/>
      <c r="F226" s="42"/>
    </row>
    <row r="227">
      <c r="B227" s="18"/>
      <c r="C227" s="18"/>
      <c r="D227" s="18"/>
      <c r="E227" s="42"/>
      <c r="F227" s="42"/>
    </row>
    <row r="228">
      <c r="B228" s="18"/>
      <c r="C228" s="18"/>
      <c r="D228" s="18"/>
      <c r="E228" s="42"/>
      <c r="F228" s="42"/>
    </row>
    <row r="229">
      <c r="B229" s="18"/>
      <c r="C229" s="18"/>
      <c r="D229" s="18"/>
      <c r="E229" s="42"/>
      <c r="F229" s="42"/>
    </row>
    <row r="230">
      <c r="B230" s="18"/>
      <c r="C230" s="18"/>
      <c r="D230" s="18"/>
      <c r="E230" s="42"/>
      <c r="F230" s="42"/>
    </row>
    <row r="231">
      <c r="B231" s="18"/>
      <c r="C231" s="18"/>
      <c r="D231" s="18"/>
      <c r="E231" s="42"/>
      <c r="F231" s="42"/>
    </row>
    <row r="232">
      <c r="B232" s="18"/>
      <c r="C232" s="18"/>
      <c r="D232" s="18"/>
      <c r="E232" s="42"/>
      <c r="F232" s="42"/>
    </row>
    <row r="233">
      <c r="B233" s="18"/>
      <c r="C233" s="18"/>
      <c r="D233" s="18"/>
      <c r="E233" s="42"/>
      <c r="F233" s="42"/>
    </row>
    <row r="234">
      <c r="B234" s="18"/>
      <c r="C234" s="18"/>
      <c r="D234" s="18"/>
      <c r="E234" s="42"/>
      <c r="F234" s="42"/>
    </row>
    <row r="235">
      <c r="B235" s="18"/>
      <c r="C235" s="18"/>
      <c r="D235" s="18"/>
      <c r="E235" s="42"/>
      <c r="F235" s="42"/>
    </row>
    <row r="236">
      <c r="B236" s="18"/>
      <c r="C236" s="18"/>
      <c r="D236" s="18"/>
      <c r="E236" s="42"/>
      <c r="F236" s="42"/>
    </row>
    <row r="237">
      <c r="B237" s="18"/>
      <c r="C237" s="18"/>
      <c r="D237" s="18"/>
      <c r="E237" s="42"/>
      <c r="F237" s="42"/>
    </row>
    <row r="238">
      <c r="B238" s="18"/>
      <c r="C238" s="18"/>
      <c r="D238" s="18"/>
      <c r="E238" s="42"/>
      <c r="F238" s="42"/>
    </row>
    <row r="239">
      <c r="B239" s="18"/>
      <c r="C239" s="18"/>
      <c r="D239" s="18"/>
      <c r="E239" s="42"/>
      <c r="F239" s="42"/>
    </row>
    <row r="240">
      <c r="B240" s="18"/>
      <c r="C240" s="18"/>
      <c r="D240" s="18"/>
      <c r="E240" s="42"/>
      <c r="F240" s="42"/>
    </row>
    <row r="241">
      <c r="B241" s="18"/>
      <c r="C241" s="18"/>
      <c r="D241" s="18"/>
      <c r="E241" s="42"/>
      <c r="F241" s="42"/>
    </row>
    <row r="242">
      <c r="B242" s="18"/>
      <c r="C242" s="18"/>
      <c r="D242" s="18"/>
      <c r="E242" s="42"/>
      <c r="F242" s="42"/>
    </row>
    <row r="243">
      <c r="B243" s="18"/>
      <c r="C243" s="18"/>
      <c r="D243" s="18"/>
      <c r="E243" s="42"/>
      <c r="F243" s="42"/>
    </row>
    <row r="244">
      <c r="B244" s="18"/>
      <c r="C244" s="18"/>
      <c r="D244" s="18"/>
      <c r="E244" s="42"/>
      <c r="F244" s="42"/>
    </row>
    <row r="245">
      <c r="B245" s="18"/>
      <c r="C245" s="18"/>
      <c r="D245" s="18"/>
      <c r="E245" s="42"/>
      <c r="F245" s="42"/>
    </row>
    <row r="246">
      <c r="B246" s="18"/>
      <c r="C246" s="18"/>
      <c r="D246" s="18"/>
      <c r="E246" s="42"/>
      <c r="F246" s="42"/>
    </row>
    <row r="247">
      <c r="B247" s="18"/>
      <c r="C247" s="18"/>
      <c r="D247" s="18"/>
      <c r="E247" s="42"/>
      <c r="F247" s="42"/>
    </row>
    <row r="248">
      <c r="B248" s="18"/>
      <c r="C248" s="18"/>
      <c r="D248" s="18"/>
      <c r="E248" s="42"/>
      <c r="F248" s="42"/>
    </row>
    <row r="249">
      <c r="B249" s="18"/>
      <c r="C249" s="18"/>
      <c r="D249" s="18"/>
      <c r="E249" s="42"/>
      <c r="F249" s="42"/>
    </row>
    <row r="250">
      <c r="B250" s="18"/>
      <c r="C250" s="18"/>
      <c r="D250" s="18"/>
      <c r="E250" s="42"/>
      <c r="F250" s="42"/>
    </row>
    <row r="251">
      <c r="B251" s="18"/>
      <c r="C251" s="18"/>
      <c r="D251" s="18"/>
      <c r="E251" s="42"/>
      <c r="F251" s="42"/>
    </row>
    <row r="252">
      <c r="B252" s="18"/>
      <c r="C252" s="18"/>
      <c r="D252" s="18"/>
      <c r="E252" s="42"/>
      <c r="F252" s="42"/>
    </row>
    <row r="253">
      <c r="B253" s="18"/>
      <c r="C253" s="18"/>
      <c r="D253" s="18"/>
      <c r="E253" s="42"/>
      <c r="F253" s="42"/>
    </row>
    <row r="254">
      <c r="B254" s="18"/>
      <c r="C254" s="18"/>
      <c r="D254" s="18"/>
      <c r="E254" s="42"/>
      <c r="F254" s="42"/>
    </row>
    <row r="255">
      <c r="B255" s="18"/>
      <c r="C255" s="18"/>
      <c r="D255" s="18"/>
      <c r="E255" s="42"/>
      <c r="F255" s="42"/>
    </row>
    <row r="256">
      <c r="B256" s="18"/>
      <c r="C256" s="18"/>
      <c r="D256" s="18"/>
      <c r="E256" s="42"/>
      <c r="F256" s="42"/>
    </row>
    <row r="257">
      <c r="B257" s="18"/>
      <c r="C257" s="18"/>
      <c r="D257" s="18"/>
      <c r="E257" s="42"/>
      <c r="F257" s="42"/>
    </row>
    <row r="258">
      <c r="B258" s="18"/>
      <c r="C258" s="18"/>
      <c r="D258" s="18"/>
      <c r="E258" s="42"/>
      <c r="F258" s="42"/>
    </row>
    <row r="259">
      <c r="B259" s="18"/>
      <c r="C259" s="18"/>
      <c r="D259" s="18"/>
      <c r="E259" s="42"/>
      <c r="F259" s="42"/>
    </row>
    <row r="260">
      <c r="B260" s="18"/>
      <c r="C260" s="18"/>
      <c r="D260" s="18"/>
      <c r="E260" s="42"/>
      <c r="F260" s="42"/>
    </row>
    <row r="261">
      <c r="B261" s="18"/>
      <c r="C261" s="18"/>
      <c r="D261" s="18"/>
      <c r="E261" s="42"/>
      <c r="F261" s="42"/>
    </row>
    <row r="262">
      <c r="B262" s="18"/>
      <c r="C262" s="18"/>
      <c r="D262" s="18"/>
      <c r="E262" s="42"/>
      <c r="F262" s="42"/>
    </row>
    <row r="263">
      <c r="B263" s="18"/>
      <c r="C263" s="18"/>
      <c r="D263" s="18"/>
      <c r="E263" s="42"/>
      <c r="F263" s="42"/>
    </row>
    <row r="264">
      <c r="B264" s="18"/>
      <c r="C264" s="18"/>
      <c r="D264" s="18"/>
      <c r="E264" s="42"/>
      <c r="F264" s="42"/>
    </row>
    <row r="265">
      <c r="B265" s="18"/>
      <c r="C265" s="18"/>
      <c r="D265" s="18"/>
      <c r="E265" s="42"/>
      <c r="F265" s="42"/>
    </row>
    <row r="266">
      <c r="B266" s="18"/>
      <c r="C266" s="18"/>
      <c r="D266" s="18"/>
      <c r="E266" s="42"/>
      <c r="F266" s="42"/>
    </row>
    <row r="267">
      <c r="B267" s="18"/>
      <c r="C267" s="18"/>
      <c r="D267" s="18"/>
      <c r="E267" s="42"/>
      <c r="F267" s="42"/>
    </row>
    <row r="268">
      <c r="B268" s="18"/>
      <c r="C268" s="18"/>
      <c r="D268" s="18"/>
      <c r="E268" s="42"/>
      <c r="F268" s="42"/>
    </row>
    <row r="269">
      <c r="B269" s="18"/>
      <c r="C269" s="18"/>
      <c r="D269" s="18"/>
      <c r="E269" s="42"/>
      <c r="F269" s="42"/>
    </row>
    <row r="270">
      <c r="B270" s="18"/>
      <c r="C270" s="18"/>
      <c r="D270" s="18"/>
      <c r="E270" s="42"/>
      <c r="F270" s="42"/>
    </row>
    <row r="271">
      <c r="B271" s="18"/>
      <c r="C271" s="18"/>
      <c r="D271" s="18"/>
      <c r="E271" s="42"/>
      <c r="F271" s="42"/>
    </row>
    <row r="272">
      <c r="B272" s="18"/>
      <c r="C272" s="18"/>
      <c r="D272" s="18"/>
      <c r="E272" s="42"/>
      <c r="F272" s="42"/>
    </row>
    <row r="273">
      <c r="B273" s="18"/>
      <c r="C273" s="18"/>
      <c r="D273" s="18"/>
      <c r="E273" s="42"/>
      <c r="F273" s="42"/>
    </row>
    <row r="274">
      <c r="B274" s="18"/>
      <c r="C274" s="18"/>
      <c r="D274" s="18"/>
      <c r="E274" s="42"/>
      <c r="F274" s="42"/>
    </row>
    <row r="275">
      <c r="B275" s="18"/>
      <c r="C275" s="18"/>
      <c r="D275" s="18"/>
      <c r="E275" s="42"/>
      <c r="F275" s="42"/>
    </row>
    <row r="276">
      <c r="B276" s="18"/>
      <c r="C276" s="18"/>
      <c r="D276" s="18"/>
      <c r="E276" s="42"/>
      <c r="F276" s="42"/>
    </row>
    <row r="277">
      <c r="B277" s="18"/>
      <c r="C277" s="18"/>
      <c r="D277" s="18"/>
      <c r="E277" s="42"/>
      <c r="F277" s="42"/>
    </row>
    <row r="278">
      <c r="B278" s="18"/>
      <c r="C278" s="18"/>
      <c r="D278" s="18"/>
      <c r="E278" s="42"/>
      <c r="F278" s="42"/>
    </row>
    <row r="279">
      <c r="B279" s="18"/>
      <c r="C279" s="18"/>
      <c r="D279" s="18"/>
      <c r="E279" s="42"/>
      <c r="F279" s="42"/>
    </row>
    <row r="280">
      <c r="B280" s="18"/>
      <c r="C280" s="18"/>
      <c r="D280" s="18"/>
      <c r="E280" s="42"/>
      <c r="F280" s="42"/>
    </row>
    <row r="281">
      <c r="B281" s="18"/>
      <c r="C281" s="18"/>
      <c r="D281" s="18"/>
      <c r="E281" s="42"/>
      <c r="F281" s="42"/>
    </row>
    <row r="282">
      <c r="B282" s="18"/>
      <c r="C282" s="18"/>
      <c r="D282" s="18"/>
      <c r="E282" s="42"/>
      <c r="F282" s="42"/>
    </row>
    <row r="283">
      <c r="B283" s="18"/>
      <c r="C283" s="18"/>
      <c r="D283" s="18"/>
      <c r="E283" s="42"/>
      <c r="F283" s="42"/>
    </row>
    <row r="284">
      <c r="B284" s="18"/>
      <c r="C284" s="18"/>
      <c r="D284" s="18"/>
      <c r="E284" s="42"/>
      <c r="F284" s="42"/>
    </row>
    <row r="285">
      <c r="B285" s="18"/>
      <c r="C285" s="18"/>
      <c r="D285" s="18"/>
      <c r="E285" s="42"/>
      <c r="F285" s="42"/>
    </row>
    <row r="286">
      <c r="B286" s="18"/>
      <c r="C286" s="18"/>
      <c r="D286" s="18"/>
      <c r="E286" s="42"/>
      <c r="F286" s="42"/>
    </row>
    <row r="287">
      <c r="B287" s="18"/>
      <c r="C287" s="18"/>
      <c r="D287" s="18"/>
      <c r="E287" s="42"/>
      <c r="F287" s="42"/>
    </row>
    <row r="288">
      <c r="B288" s="18"/>
      <c r="C288" s="18"/>
      <c r="D288" s="18"/>
      <c r="E288" s="42"/>
      <c r="F288" s="42"/>
    </row>
    <row r="289">
      <c r="B289" s="18"/>
      <c r="C289" s="18"/>
      <c r="D289" s="18"/>
      <c r="E289" s="42"/>
      <c r="F289" s="42"/>
    </row>
    <row r="290">
      <c r="B290" s="18"/>
      <c r="C290" s="18"/>
      <c r="D290" s="18"/>
      <c r="E290" s="42"/>
      <c r="F290" s="42"/>
    </row>
    <row r="291">
      <c r="B291" s="18"/>
      <c r="C291" s="18"/>
      <c r="D291" s="18"/>
      <c r="E291" s="42"/>
      <c r="F291" s="42"/>
    </row>
    <row r="292">
      <c r="B292" s="18"/>
      <c r="C292" s="18"/>
      <c r="D292" s="18"/>
      <c r="E292" s="42"/>
      <c r="F292" s="42"/>
    </row>
    <row r="293">
      <c r="B293" s="18"/>
      <c r="C293" s="18"/>
      <c r="D293" s="18"/>
      <c r="E293" s="42"/>
      <c r="F293" s="42"/>
    </row>
    <row r="294">
      <c r="B294" s="18"/>
      <c r="C294" s="18"/>
      <c r="D294" s="18"/>
      <c r="E294" s="42"/>
      <c r="F294" s="42"/>
    </row>
    <row r="295">
      <c r="B295" s="18"/>
      <c r="C295" s="18"/>
      <c r="D295" s="18"/>
      <c r="E295" s="42"/>
      <c r="F295" s="42"/>
    </row>
    <row r="296">
      <c r="B296" s="18"/>
      <c r="C296" s="18"/>
      <c r="D296" s="18"/>
      <c r="E296" s="42"/>
      <c r="F296" s="42"/>
    </row>
    <row r="297">
      <c r="B297" s="18"/>
      <c r="C297" s="18"/>
      <c r="D297" s="18"/>
      <c r="E297" s="42"/>
      <c r="F297" s="42"/>
    </row>
    <row r="298">
      <c r="B298" s="18"/>
      <c r="C298" s="18"/>
      <c r="D298" s="18"/>
      <c r="E298" s="42"/>
      <c r="F298" s="42"/>
    </row>
    <row r="299">
      <c r="B299" s="18"/>
      <c r="C299" s="18"/>
      <c r="D299" s="18"/>
      <c r="E299" s="42"/>
      <c r="F299" s="42"/>
    </row>
    <row r="300">
      <c r="B300" s="18"/>
      <c r="C300" s="18"/>
      <c r="D300" s="18"/>
      <c r="E300" s="42"/>
      <c r="F300" s="42"/>
    </row>
    <row r="301">
      <c r="B301" s="18"/>
      <c r="C301" s="18"/>
      <c r="D301" s="18"/>
      <c r="E301" s="42"/>
      <c r="F301" s="42"/>
    </row>
    <row r="302">
      <c r="B302" s="18"/>
      <c r="C302" s="18"/>
      <c r="D302" s="18"/>
      <c r="E302" s="42"/>
      <c r="F302" s="42"/>
    </row>
    <row r="303">
      <c r="B303" s="18"/>
      <c r="C303" s="18"/>
      <c r="D303" s="18"/>
      <c r="E303" s="42"/>
      <c r="F303" s="42"/>
    </row>
    <row r="304">
      <c r="B304" s="18"/>
      <c r="C304" s="18"/>
      <c r="D304" s="18"/>
      <c r="E304" s="42"/>
      <c r="F304" s="42"/>
    </row>
    <row r="305">
      <c r="B305" s="18"/>
      <c r="C305" s="18"/>
      <c r="D305" s="18"/>
      <c r="E305" s="42"/>
      <c r="F305" s="42"/>
    </row>
    <row r="306">
      <c r="B306" s="18"/>
      <c r="C306" s="18"/>
      <c r="D306" s="18"/>
      <c r="E306" s="42"/>
      <c r="F306" s="42"/>
    </row>
    <row r="307">
      <c r="B307" s="18"/>
      <c r="C307" s="18"/>
      <c r="D307" s="18"/>
      <c r="E307" s="42"/>
      <c r="F307" s="42"/>
    </row>
    <row r="308">
      <c r="B308" s="18"/>
      <c r="C308" s="18"/>
      <c r="D308" s="18"/>
      <c r="E308" s="42"/>
      <c r="F308" s="42"/>
    </row>
    <row r="309">
      <c r="B309" s="18"/>
      <c r="C309" s="18"/>
      <c r="D309" s="18"/>
      <c r="E309" s="42"/>
      <c r="F309" s="42"/>
    </row>
    <row r="310">
      <c r="B310" s="18"/>
      <c r="C310" s="18"/>
      <c r="D310" s="18"/>
      <c r="E310" s="42"/>
      <c r="F310" s="42"/>
    </row>
    <row r="311">
      <c r="B311" s="18"/>
      <c r="C311" s="18"/>
      <c r="D311" s="18"/>
      <c r="E311" s="42"/>
      <c r="F311" s="42"/>
    </row>
    <row r="312">
      <c r="B312" s="18"/>
      <c r="C312" s="18"/>
      <c r="D312" s="18"/>
      <c r="E312" s="42"/>
      <c r="F312" s="42"/>
    </row>
    <row r="313">
      <c r="B313" s="18"/>
      <c r="C313" s="18"/>
      <c r="D313" s="18"/>
      <c r="E313" s="42"/>
      <c r="F313" s="42"/>
    </row>
    <row r="314">
      <c r="B314" s="18"/>
      <c r="C314" s="18"/>
      <c r="D314" s="18"/>
      <c r="E314" s="42"/>
      <c r="F314" s="42"/>
    </row>
    <row r="315">
      <c r="B315" s="18"/>
      <c r="C315" s="18"/>
      <c r="D315" s="18"/>
      <c r="E315" s="42"/>
      <c r="F315" s="42"/>
    </row>
    <row r="316">
      <c r="B316" s="18"/>
      <c r="C316" s="18"/>
      <c r="D316" s="18"/>
      <c r="E316" s="42"/>
      <c r="F316" s="42"/>
    </row>
    <row r="317">
      <c r="B317" s="18"/>
      <c r="C317" s="18"/>
      <c r="D317" s="18"/>
      <c r="E317" s="42"/>
      <c r="F317" s="42"/>
    </row>
    <row r="318">
      <c r="B318" s="18"/>
      <c r="C318" s="18"/>
      <c r="D318" s="18"/>
      <c r="E318" s="42"/>
      <c r="F318" s="42"/>
    </row>
    <row r="319">
      <c r="B319" s="18"/>
      <c r="C319" s="18"/>
      <c r="D319" s="18"/>
      <c r="E319" s="42"/>
      <c r="F319" s="42"/>
    </row>
    <row r="320">
      <c r="B320" s="18"/>
      <c r="C320" s="18"/>
      <c r="D320" s="18"/>
      <c r="E320" s="42"/>
      <c r="F320" s="42"/>
    </row>
    <row r="321">
      <c r="B321" s="18"/>
      <c r="C321" s="18"/>
      <c r="D321" s="18"/>
      <c r="E321" s="42"/>
      <c r="F321" s="42"/>
    </row>
    <row r="322">
      <c r="B322" s="18"/>
      <c r="C322" s="18"/>
      <c r="D322" s="18"/>
      <c r="E322" s="42"/>
      <c r="F322" s="42"/>
    </row>
    <row r="323">
      <c r="B323" s="18"/>
      <c r="C323" s="18"/>
      <c r="D323" s="18"/>
      <c r="E323" s="42"/>
      <c r="F323" s="42"/>
    </row>
    <row r="324">
      <c r="B324" s="18"/>
      <c r="C324" s="18"/>
      <c r="D324" s="18"/>
      <c r="E324" s="42"/>
      <c r="F324" s="42"/>
    </row>
    <row r="325">
      <c r="B325" s="18"/>
      <c r="C325" s="18"/>
      <c r="D325" s="18"/>
      <c r="E325" s="42"/>
      <c r="F325" s="42"/>
    </row>
    <row r="326">
      <c r="B326" s="18"/>
      <c r="C326" s="18"/>
      <c r="D326" s="18"/>
      <c r="E326" s="42"/>
      <c r="F326" s="42"/>
    </row>
    <row r="327">
      <c r="B327" s="18"/>
      <c r="C327" s="18"/>
      <c r="D327" s="18"/>
      <c r="E327" s="42"/>
      <c r="F327" s="42"/>
    </row>
    <row r="328">
      <c r="B328" s="18"/>
      <c r="C328" s="18"/>
      <c r="D328" s="18"/>
      <c r="E328" s="42"/>
      <c r="F328" s="42"/>
    </row>
    <row r="329">
      <c r="B329" s="18"/>
      <c r="C329" s="18"/>
      <c r="D329" s="18"/>
      <c r="E329" s="42"/>
      <c r="F329" s="42"/>
    </row>
    <row r="330">
      <c r="B330" s="18"/>
      <c r="C330" s="18"/>
      <c r="D330" s="18"/>
      <c r="E330" s="42"/>
      <c r="F330" s="42"/>
    </row>
    <row r="331">
      <c r="B331" s="18"/>
      <c r="C331" s="18"/>
      <c r="D331" s="18"/>
      <c r="E331" s="42"/>
      <c r="F331" s="42"/>
    </row>
    <row r="332">
      <c r="B332" s="18"/>
      <c r="C332" s="18"/>
      <c r="D332" s="18"/>
      <c r="E332" s="42"/>
      <c r="F332" s="42"/>
    </row>
    <row r="333">
      <c r="B333" s="18"/>
      <c r="C333" s="18"/>
      <c r="D333" s="18"/>
      <c r="E333" s="42"/>
      <c r="F333" s="42"/>
    </row>
    <row r="334">
      <c r="B334" s="18"/>
      <c r="C334" s="18"/>
      <c r="D334" s="18"/>
      <c r="E334" s="42"/>
      <c r="F334" s="42"/>
    </row>
    <row r="335">
      <c r="B335" s="18"/>
      <c r="C335" s="18"/>
      <c r="D335" s="18"/>
      <c r="E335" s="42"/>
      <c r="F335" s="42"/>
    </row>
    <row r="336">
      <c r="B336" s="18"/>
      <c r="C336" s="18"/>
      <c r="D336" s="18"/>
      <c r="E336" s="42"/>
      <c r="F336" s="42"/>
    </row>
    <row r="337">
      <c r="B337" s="18"/>
      <c r="C337" s="18"/>
      <c r="D337" s="18"/>
      <c r="E337" s="42"/>
      <c r="F337" s="42"/>
    </row>
    <row r="338">
      <c r="B338" s="18"/>
      <c r="C338" s="18"/>
      <c r="D338" s="18"/>
      <c r="E338" s="42"/>
      <c r="F338" s="42"/>
    </row>
    <row r="339">
      <c r="B339" s="18"/>
      <c r="C339" s="18"/>
      <c r="D339" s="18"/>
      <c r="E339" s="42"/>
      <c r="F339" s="42"/>
    </row>
    <row r="340">
      <c r="B340" s="18"/>
      <c r="C340" s="18"/>
      <c r="D340" s="18"/>
      <c r="E340" s="42"/>
      <c r="F340" s="42"/>
    </row>
    <row r="341">
      <c r="B341" s="18"/>
      <c r="C341" s="18"/>
      <c r="D341" s="18"/>
      <c r="E341" s="42"/>
      <c r="F341" s="42"/>
    </row>
    <row r="342">
      <c r="B342" s="18"/>
      <c r="C342" s="18"/>
      <c r="D342" s="18"/>
      <c r="E342" s="42"/>
      <c r="F342" s="42"/>
    </row>
    <row r="343">
      <c r="B343" s="18"/>
      <c r="C343" s="18"/>
      <c r="D343" s="18"/>
      <c r="E343" s="42"/>
      <c r="F343" s="42"/>
    </row>
    <row r="344">
      <c r="B344" s="18"/>
      <c r="C344" s="18"/>
      <c r="D344" s="18"/>
      <c r="E344" s="42"/>
      <c r="F344" s="42"/>
    </row>
    <row r="345">
      <c r="B345" s="18"/>
      <c r="C345" s="18"/>
      <c r="D345" s="18"/>
      <c r="E345" s="42"/>
      <c r="F345" s="42"/>
    </row>
    <row r="346">
      <c r="B346" s="18"/>
      <c r="C346" s="18"/>
      <c r="D346" s="18"/>
      <c r="E346" s="42"/>
      <c r="F346" s="42"/>
    </row>
    <row r="347">
      <c r="B347" s="18"/>
      <c r="C347" s="18"/>
      <c r="D347" s="18"/>
      <c r="E347" s="42"/>
      <c r="F347" s="42"/>
    </row>
    <row r="348">
      <c r="B348" s="18"/>
      <c r="C348" s="18"/>
      <c r="D348" s="18"/>
      <c r="E348" s="42"/>
      <c r="F348" s="42"/>
    </row>
    <row r="349">
      <c r="B349" s="18"/>
      <c r="C349" s="18"/>
      <c r="D349" s="18"/>
      <c r="E349" s="42"/>
      <c r="F349" s="42"/>
    </row>
    <row r="350">
      <c r="B350" s="18"/>
      <c r="C350" s="18"/>
      <c r="D350" s="18"/>
      <c r="E350" s="42"/>
      <c r="F350" s="42"/>
    </row>
    <row r="351">
      <c r="B351" s="18"/>
      <c r="C351" s="18"/>
      <c r="D351" s="18"/>
      <c r="E351" s="42"/>
      <c r="F351" s="42"/>
    </row>
    <row r="352">
      <c r="B352" s="18"/>
      <c r="C352" s="18"/>
      <c r="D352" s="18"/>
      <c r="E352" s="42"/>
      <c r="F352" s="42"/>
    </row>
    <row r="353">
      <c r="B353" s="18"/>
      <c r="C353" s="18"/>
      <c r="D353" s="18"/>
      <c r="E353" s="42"/>
      <c r="F353" s="42"/>
    </row>
    <row r="354">
      <c r="B354" s="18"/>
      <c r="C354" s="18"/>
      <c r="D354" s="18"/>
      <c r="E354" s="42"/>
      <c r="F354" s="42"/>
    </row>
    <row r="355">
      <c r="B355" s="18"/>
      <c r="C355" s="18"/>
      <c r="D355" s="18"/>
      <c r="E355" s="42"/>
      <c r="F355" s="42"/>
    </row>
    <row r="356">
      <c r="B356" s="18"/>
      <c r="C356" s="18"/>
      <c r="D356" s="18"/>
      <c r="E356" s="42"/>
      <c r="F356" s="42"/>
    </row>
    <row r="357">
      <c r="B357" s="18"/>
      <c r="C357" s="18"/>
      <c r="D357" s="18"/>
      <c r="E357" s="42"/>
      <c r="F357" s="42"/>
    </row>
    <row r="358">
      <c r="B358" s="18"/>
      <c r="C358" s="18"/>
      <c r="D358" s="18"/>
      <c r="E358" s="42"/>
      <c r="F358" s="42"/>
    </row>
    <row r="359">
      <c r="B359" s="18"/>
      <c r="C359" s="18"/>
      <c r="D359" s="18"/>
      <c r="E359" s="42"/>
      <c r="F359" s="42"/>
    </row>
    <row r="360">
      <c r="B360" s="18"/>
      <c r="C360" s="18"/>
      <c r="D360" s="18"/>
      <c r="E360" s="42"/>
      <c r="F360" s="42"/>
    </row>
    <row r="361">
      <c r="B361" s="18"/>
      <c r="C361" s="18"/>
      <c r="D361" s="18"/>
      <c r="E361" s="42"/>
      <c r="F361" s="42"/>
    </row>
    <row r="362">
      <c r="B362" s="18"/>
      <c r="C362" s="18"/>
      <c r="D362" s="18"/>
      <c r="E362" s="42"/>
      <c r="F362" s="42"/>
    </row>
    <row r="363">
      <c r="B363" s="18"/>
      <c r="C363" s="18"/>
      <c r="D363" s="18"/>
      <c r="E363" s="42"/>
      <c r="F363" s="42"/>
    </row>
    <row r="364">
      <c r="B364" s="18"/>
      <c r="C364" s="18"/>
      <c r="D364" s="18"/>
      <c r="E364" s="42"/>
      <c r="F364" s="42"/>
    </row>
    <row r="365">
      <c r="B365" s="18"/>
      <c r="C365" s="18"/>
      <c r="D365" s="18"/>
      <c r="E365" s="42"/>
      <c r="F365" s="42"/>
    </row>
    <row r="366">
      <c r="B366" s="18"/>
      <c r="C366" s="18"/>
      <c r="D366" s="18"/>
      <c r="E366" s="42"/>
      <c r="F366" s="42"/>
    </row>
    <row r="367">
      <c r="B367" s="18"/>
      <c r="C367" s="18"/>
      <c r="D367" s="18"/>
      <c r="E367" s="42"/>
      <c r="F367" s="42"/>
    </row>
    <row r="368">
      <c r="B368" s="18"/>
      <c r="C368" s="18"/>
      <c r="D368" s="18"/>
      <c r="E368" s="42"/>
      <c r="F368" s="42"/>
    </row>
    <row r="369">
      <c r="B369" s="18"/>
      <c r="C369" s="18"/>
      <c r="D369" s="18"/>
      <c r="E369" s="42"/>
      <c r="F369" s="42"/>
    </row>
    <row r="370">
      <c r="B370" s="18"/>
      <c r="C370" s="18"/>
      <c r="D370" s="18"/>
      <c r="E370" s="42"/>
      <c r="F370" s="42"/>
    </row>
    <row r="371">
      <c r="B371" s="18"/>
      <c r="C371" s="18"/>
      <c r="D371" s="18"/>
      <c r="E371" s="42"/>
      <c r="F371" s="42"/>
    </row>
    <row r="372">
      <c r="B372" s="18"/>
      <c r="C372" s="18"/>
      <c r="D372" s="18"/>
      <c r="E372" s="42"/>
      <c r="F372" s="42"/>
    </row>
    <row r="373">
      <c r="B373" s="18"/>
      <c r="C373" s="18"/>
      <c r="D373" s="18"/>
      <c r="E373" s="42"/>
      <c r="F373" s="42"/>
    </row>
    <row r="374">
      <c r="B374" s="18"/>
      <c r="C374" s="18"/>
      <c r="D374" s="18"/>
      <c r="E374" s="42"/>
      <c r="F374" s="42"/>
    </row>
    <row r="375">
      <c r="B375" s="18"/>
      <c r="C375" s="18"/>
      <c r="D375" s="18"/>
      <c r="E375" s="42"/>
      <c r="F375" s="42"/>
    </row>
    <row r="376">
      <c r="B376" s="18"/>
      <c r="C376" s="18"/>
      <c r="D376" s="18"/>
      <c r="E376" s="42"/>
      <c r="F376" s="42"/>
    </row>
    <row r="377">
      <c r="B377" s="18"/>
      <c r="C377" s="18"/>
      <c r="D377" s="18"/>
      <c r="E377" s="42"/>
      <c r="F377" s="42"/>
    </row>
    <row r="378">
      <c r="B378" s="18"/>
      <c r="C378" s="18"/>
      <c r="D378" s="18"/>
      <c r="E378" s="42"/>
      <c r="F378" s="42"/>
    </row>
    <row r="379">
      <c r="B379" s="18"/>
      <c r="C379" s="18"/>
      <c r="D379" s="18"/>
      <c r="E379" s="42"/>
      <c r="F379" s="42"/>
    </row>
    <row r="380">
      <c r="B380" s="18"/>
      <c r="C380" s="18"/>
      <c r="D380" s="18"/>
      <c r="E380" s="42"/>
      <c r="F380" s="42"/>
    </row>
    <row r="381">
      <c r="B381" s="18"/>
      <c r="C381" s="18"/>
      <c r="D381" s="18"/>
      <c r="E381" s="42"/>
      <c r="F381" s="42"/>
    </row>
    <row r="382">
      <c r="B382" s="18"/>
      <c r="C382" s="18"/>
      <c r="D382" s="18"/>
      <c r="E382" s="42"/>
      <c r="F382" s="42"/>
    </row>
    <row r="383">
      <c r="B383" s="18"/>
      <c r="C383" s="18"/>
      <c r="D383" s="18"/>
      <c r="E383" s="42"/>
      <c r="F383" s="42"/>
    </row>
    <row r="384">
      <c r="B384" s="18"/>
      <c r="C384" s="18"/>
      <c r="D384" s="18"/>
      <c r="E384" s="42"/>
      <c r="F384" s="42"/>
    </row>
    <row r="385">
      <c r="B385" s="18"/>
      <c r="C385" s="18"/>
      <c r="D385" s="18"/>
      <c r="E385" s="42"/>
      <c r="F385" s="42"/>
    </row>
    <row r="386">
      <c r="B386" s="18"/>
      <c r="C386" s="18"/>
      <c r="D386" s="18"/>
      <c r="E386" s="42"/>
      <c r="F386" s="42"/>
    </row>
    <row r="387">
      <c r="B387" s="18"/>
      <c r="C387" s="18"/>
      <c r="D387" s="18"/>
      <c r="E387" s="42"/>
      <c r="F387" s="42"/>
    </row>
    <row r="388">
      <c r="B388" s="18"/>
      <c r="C388" s="18"/>
      <c r="D388" s="18"/>
      <c r="E388" s="42"/>
      <c r="F388" s="42"/>
    </row>
    <row r="389">
      <c r="B389" s="18"/>
      <c r="C389" s="18"/>
      <c r="D389" s="18"/>
      <c r="E389" s="42"/>
      <c r="F389" s="42"/>
    </row>
    <row r="390">
      <c r="B390" s="18"/>
      <c r="C390" s="18"/>
      <c r="D390" s="18"/>
      <c r="E390" s="42"/>
      <c r="F390" s="42"/>
    </row>
    <row r="391">
      <c r="B391" s="18"/>
      <c r="C391" s="18"/>
      <c r="D391" s="18"/>
      <c r="E391" s="42"/>
      <c r="F391" s="42"/>
    </row>
    <row r="392">
      <c r="B392" s="18"/>
      <c r="C392" s="18"/>
      <c r="D392" s="18"/>
      <c r="E392" s="42"/>
      <c r="F392" s="42"/>
    </row>
    <row r="393">
      <c r="B393" s="18"/>
      <c r="C393" s="18"/>
      <c r="D393" s="18"/>
      <c r="E393" s="42"/>
      <c r="F393" s="42"/>
    </row>
    <row r="394">
      <c r="B394" s="18"/>
      <c r="C394" s="18"/>
      <c r="D394" s="18"/>
      <c r="E394" s="42"/>
      <c r="F394" s="42"/>
    </row>
    <row r="395">
      <c r="B395" s="18"/>
      <c r="C395" s="18"/>
      <c r="D395" s="18"/>
      <c r="E395" s="42"/>
      <c r="F395" s="42"/>
    </row>
    <row r="396">
      <c r="B396" s="18"/>
      <c r="C396" s="18"/>
      <c r="D396" s="18"/>
      <c r="E396" s="42"/>
      <c r="F396" s="42"/>
    </row>
    <row r="397">
      <c r="B397" s="18"/>
      <c r="C397" s="18"/>
      <c r="D397" s="18"/>
      <c r="E397" s="42"/>
      <c r="F397" s="42"/>
    </row>
    <row r="398">
      <c r="B398" s="18"/>
      <c r="C398" s="18"/>
      <c r="D398" s="18"/>
      <c r="E398" s="42"/>
      <c r="F398" s="42"/>
    </row>
    <row r="399">
      <c r="B399" s="18"/>
      <c r="C399" s="18"/>
      <c r="D399" s="18"/>
      <c r="E399" s="42"/>
      <c r="F399" s="42"/>
    </row>
    <row r="400">
      <c r="B400" s="18"/>
      <c r="C400" s="18"/>
      <c r="D400" s="18"/>
      <c r="E400" s="42"/>
      <c r="F400" s="42"/>
    </row>
    <row r="401">
      <c r="B401" s="18"/>
      <c r="C401" s="18"/>
      <c r="D401" s="18"/>
      <c r="E401" s="42"/>
      <c r="F401" s="42"/>
    </row>
    <row r="402">
      <c r="B402" s="18"/>
      <c r="C402" s="18"/>
      <c r="D402" s="18"/>
      <c r="E402" s="42"/>
      <c r="F402" s="42"/>
    </row>
    <row r="403">
      <c r="B403" s="18"/>
      <c r="C403" s="18"/>
      <c r="D403" s="18"/>
      <c r="E403" s="42"/>
      <c r="F403" s="42"/>
    </row>
    <row r="404">
      <c r="B404" s="18"/>
      <c r="C404" s="18"/>
      <c r="D404" s="18"/>
      <c r="E404" s="42"/>
      <c r="F404" s="42"/>
    </row>
    <row r="405">
      <c r="B405" s="18"/>
      <c r="C405" s="18"/>
      <c r="D405" s="18"/>
      <c r="E405" s="42"/>
      <c r="F405" s="42"/>
    </row>
    <row r="406">
      <c r="B406" s="18"/>
      <c r="C406" s="18"/>
      <c r="D406" s="18"/>
      <c r="E406" s="42"/>
      <c r="F406" s="42"/>
    </row>
    <row r="407">
      <c r="B407" s="18"/>
      <c r="C407" s="18"/>
      <c r="D407" s="18"/>
      <c r="E407" s="42"/>
      <c r="F407" s="42"/>
    </row>
    <row r="408">
      <c r="B408" s="18"/>
      <c r="C408" s="18"/>
      <c r="D408" s="18"/>
      <c r="E408" s="42"/>
      <c r="F408" s="42"/>
    </row>
    <row r="409">
      <c r="B409" s="18"/>
      <c r="C409" s="18"/>
      <c r="D409" s="18"/>
      <c r="E409" s="42"/>
      <c r="F409" s="42"/>
    </row>
    <row r="410">
      <c r="B410" s="18"/>
      <c r="C410" s="18"/>
      <c r="D410" s="18"/>
      <c r="E410" s="42"/>
      <c r="F410" s="42"/>
    </row>
    <row r="411">
      <c r="B411" s="18"/>
      <c r="C411" s="18"/>
      <c r="D411" s="18"/>
      <c r="E411" s="42"/>
      <c r="F411" s="42"/>
    </row>
    <row r="412">
      <c r="B412" s="18"/>
      <c r="C412" s="18"/>
      <c r="D412" s="18"/>
      <c r="E412" s="42"/>
      <c r="F412" s="42"/>
    </row>
    <row r="413">
      <c r="B413" s="18"/>
      <c r="C413" s="18"/>
      <c r="D413" s="18"/>
      <c r="E413" s="42"/>
      <c r="F413" s="42"/>
    </row>
    <row r="414">
      <c r="B414" s="18"/>
      <c r="C414" s="18"/>
      <c r="D414" s="18"/>
      <c r="E414" s="42"/>
      <c r="F414" s="42"/>
    </row>
    <row r="415">
      <c r="B415" s="18"/>
      <c r="C415" s="18"/>
      <c r="D415" s="18"/>
      <c r="E415" s="42"/>
      <c r="F415" s="42"/>
    </row>
    <row r="416">
      <c r="B416" s="18"/>
      <c r="C416" s="18"/>
      <c r="D416" s="18"/>
      <c r="E416" s="42"/>
      <c r="F416" s="42"/>
    </row>
    <row r="417">
      <c r="B417" s="18"/>
      <c r="C417" s="18"/>
      <c r="D417" s="18"/>
      <c r="E417" s="42"/>
      <c r="F417" s="42"/>
    </row>
    <row r="418">
      <c r="B418" s="18"/>
      <c r="C418" s="18"/>
      <c r="D418" s="18"/>
      <c r="E418" s="42"/>
      <c r="F418" s="42"/>
    </row>
    <row r="419">
      <c r="B419" s="18"/>
      <c r="C419" s="18"/>
      <c r="D419" s="18"/>
      <c r="E419" s="42"/>
      <c r="F419" s="42"/>
    </row>
    <row r="420">
      <c r="B420" s="18"/>
      <c r="C420" s="18"/>
      <c r="D420" s="18"/>
      <c r="E420" s="42"/>
      <c r="F420" s="42"/>
    </row>
    <row r="421">
      <c r="B421" s="18"/>
      <c r="C421" s="18"/>
      <c r="D421" s="18"/>
      <c r="E421" s="42"/>
      <c r="F421" s="42"/>
    </row>
    <row r="422">
      <c r="B422" s="18"/>
      <c r="C422" s="18"/>
      <c r="D422" s="18"/>
      <c r="E422" s="42"/>
      <c r="F422" s="42"/>
    </row>
    <row r="423">
      <c r="B423" s="18"/>
      <c r="C423" s="18"/>
      <c r="D423" s="18"/>
      <c r="E423" s="42"/>
      <c r="F423" s="42"/>
    </row>
    <row r="424">
      <c r="B424" s="18"/>
      <c r="C424" s="18"/>
      <c r="D424" s="18"/>
      <c r="E424" s="42"/>
      <c r="F424" s="42"/>
    </row>
    <row r="425">
      <c r="B425" s="18"/>
      <c r="C425" s="18"/>
      <c r="D425" s="18"/>
      <c r="E425" s="42"/>
      <c r="F425" s="42"/>
    </row>
    <row r="426">
      <c r="B426" s="18"/>
      <c r="C426" s="18"/>
      <c r="D426" s="18"/>
      <c r="E426" s="42"/>
      <c r="F426" s="42"/>
    </row>
    <row r="427">
      <c r="B427" s="18"/>
      <c r="C427" s="18"/>
      <c r="D427" s="18"/>
      <c r="E427" s="42"/>
      <c r="F427" s="42"/>
    </row>
    <row r="428">
      <c r="B428" s="18"/>
      <c r="C428" s="18"/>
      <c r="D428" s="18"/>
      <c r="E428" s="42"/>
      <c r="F428" s="42"/>
    </row>
    <row r="429">
      <c r="B429" s="18"/>
      <c r="C429" s="18"/>
      <c r="D429" s="18"/>
      <c r="E429" s="42"/>
      <c r="F429" s="42"/>
    </row>
    <row r="430">
      <c r="B430" s="18"/>
      <c r="C430" s="18"/>
      <c r="D430" s="18"/>
      <c r="E430" s="42"/>
      <c r="F430" s="42"/>
    </row>
    <row r="431">
      <c r="B431" s="18"/>
      <c r="C431" s="18"/>
      <c r="D431" s="18"/>
      <c r="E431" s="42"/>
      <c r="F431" s="42"/>
    </row>
    <row r="432">
      <c r="B432" s="18"/>
      <c r="C432" s="18"/>
      <c r="D432" s="18"/>
      <c r="E432" s="42"/>
      <c r="F432" s="42"/>
    </row>
    <row r="433">
      <c r="B433" s="18"/>
      <c r="C433" s="18"/>
      <c r="D433" s="18"/>
      <c r="E433" s="42"/>
      <c r="F433" s="42"/>
    </row>
    <row r="434">
      <c r="B434" s="18"/>
      <c r="C434" s="18"/>
      <c r="D434" s="18"/>
      <c r="E434" s="42"/>
      <c r="F434" s="42"/>
    </row>
    <row r="435">
      <c r="B435" s="18"/>
      <c r="C435" s="18"/>
      <c r="D435" s="18"/>
      <c r="E435" s="42"/>
      <c r="F435" s="42"/>
    </row>
    <row r="436">
      <c r="B436" s="18"/>
      <c r="C436" s="18"/>
      <c r="D436" s="18"/>
      <c r="E436" s="42"/>
      <c r="F436" s="42"/>
    </row>
    <row r="437">
      <c r="B437" s="18"/>
      <c r="C437" s="18"/>
      <c r="D437" s="18"/>
      <c r="E437" s="42"/>
      <c r="F437" s="42"/>
    </row>
    <row r="438">
      <c r="B438" s="18"/>
      <c r="C438" s="18"/>
      <c r="D438" s="18"/>
      <c r="E438" s="42"/>
      <c r="F438" s="42"/>
    </row>
    <row r="439">
      <c r="B439" s="18"/>
      <c r="C439" s="18"/>
      <c r="D439" s="18"/>
      <c r="E439" s="42"/>
      <c r="F439" s="42"/>
    </row>
    <row r="440">
      <c r="B440" s="18"/>
      <c r="C440" s="18"/>
      <c r="D440" s="18"/>
      <c r="E440" s="42"/>
      <c r="F440" s="42"/>
    </row>
    <row r="441">
      <c r="B441" s="18"/>
      <c r="C441" s="18"/>
      <c r="D441" s="18"/>
      <c r="E441" s="42"/>
      <c r="F441" s="42"/>
    </row>
    <row r="442">
      <c r="B442" s="18"/>
      <c r="C442" s="18"/>
      <c r="D442" s="18"/>
      <c r="E442" s="42"/>
      <c r="F442" s="42"/>
    </row>
    <row r="443">
      <c r="B443" s="18"/>
      <c r="C443" s="18"/>
      <c r="D443" s="18"/>
      <c r="E443" s="42"/>
      <c r="F443" s="42"/>
    </row>
    <row r="444">
      <c r="B444" s="18"/>
      <c r="C444" s="18"/>
      <c r="D444" s="18"/>
      <c r="E444" s="42"/>
      <c r="F444" s="42"/>
    </row>
    <row r="445">
      <c r="B445" s="18"/>
      <c r="C445" s="18"/>
      <c r="D445" s="18"/>
      <c r="E445" s="42"/>
      <c r="F445" s="42"/>
    </row>
    <row r="446">
      <c r="B446" s="18"/>
      <c r="C446" s="18"/>
      <c r="D446" s="18"/>
      <c r="E446" s="42"/>
      <c r="F446" s="42"/>
    </row>
    <row r="447">
      <c r="B447" s="18"/>
      <c r="C447" s="18"/>
      <c r="D447" s="18"/>
      <c r="E447" s="42"/>
      <c r="F447" s="42"/>
    </row>
    <row r="448">
      <c r="B448" s="18"/>
      <c r="C448" s="18"/>
      <c r="D448" s="18"/>
      <c r="E448" s="42"/>
      <c r="F448" s="42"/>
    </row>
    <row r="449">
      <c r="B449" s="18"/>
      <c r="C449" s="18"/>
      <c r="D449" s="18"/>
      <c r="E449" s="42"/>
      <c r="F449" s="42"/>
    </row>
    <row r="450">
      <c r="B450" s="18"/>
      <c r="C450" s="18"/>
      <c r="D450" s="18"/>
      <c r="E450" s="42"/>
      <c r="F450" s="42"/>
    </row>
    <row r="451">
      <c r="B451" s="18"/>
      <c r="C451" s="18"/>
      <c r="D451" s="18"/>
      <c r="E451" s="42"/>
      <c r="F451" s="42"/>
    </row>
    <row r="452">
      <c r="B452" s="18"/>
      <c r="C452" s="18"/>
      <c r="D452" s="18"/>
      <c r="E452" s="42"/>
      <c r="F452" s="42"/>
    </row>
    <row r="453">
      <c r="B453" s="18"/>
      <c r="C453" s="18"/>
      <c r="D453" s="18"/>
      <c r="E453" s="42"/>
      <c r="F453" s="42"/>
    </row>
    <row r="454">
      <c r="B454" s="18"/>
      <c r="C454" s="18"/>
      <c r="D454" s="18"/>
      <c r="E454" s="42"/>
      <c r="F454" s="42"/>
    </row>
    <row r="455">
      <c r="B455" s="18"/>
      <c r="C455" s="18"/>
      <c r="D455" s="18"/>
      <c r="E455" s="42"/>
      <c r="F455" s="42"/>
    </row>
    <row r="456">
      <c r="B456" s="18"/>
      <c r="C456" s="18"/>
      <c r="D456" s="18"/>
      <c r="E456" s="42"/>
      <c r="F456" s="42"/>
    </row>
    <row r="457">
      <c r="B457" s="18"/>
      <c r="C457" s="18"/>
      <c r="D457" s="18"/>
      <c r="E457" s="42"/>
      <c r="F457" s="42"/>
    </row>
    <row r="458">
      <c r="B458" s="18"/>
      <c r="C458" s="18"/>
      <c r="D458" s="18"/>
      <c r="E458" s="42"/>
      <c r="F458" s="42"/>
    </row>
    <row r="459">
      <c r="B459" s="18"/>
      <c r="C459" s="18"/>
      <c r="D459" s="18"/>
      <c r="E459" s="42"/>
      <c r="F459" s="42"/>
    </row>
    <row r="460">
      <c r="B460" s="18"/>
      <c r="C460" s="18"/>
      <c r="D460" s="18"/>
      <c r="E460" s="42"/>
      <c r="F460" s="42"/>
    </row>
    <row r="461">
      <c r="B461" s="18"/>
      <c r="C461" s="18"/>
      <c r="D461" s="18"/>
      <c r="E461" s="42"/>
      <c r="F461" s="42"/>
    </row>
    <row r="462">
      <c r="B462" s="18"/>
      <c r="C462" s="18"/>
      <c r="D462" s="18"/>
      <c r="E462" s="42"/>
      <c r="F462" s="42"/>
    </row>
    <row r="463">
      <c r="B463" s="18"/>
      <c r="C463" s="18"/>
      <c r="D463" s="18"/>
      <c r="E463" s="42"/>
      <c r="F463" s="42"/>
    </row>
    <row r="464">
      <c r="B464" s="18"/>
      <c r="C464" s="18"/>
      <c r="D464" s="18"/>
      <c r="E464" s="42"/>
      <c r="F464" s="42"/>
    </row>
    <row r="465">
      <c r="B465" s="18"/>
      <c r="C465" s="18"/>
      <c r="D465" s="18"/>
      <c r="E465" s="42"/>
      <c r="F465" s="42"/>
    </row>
    <row r="466">
      <c r="B466" s="18"/>
      <c r="C466" s="18"/>
      <c r="D466" s="18"/>
      <c r="E466" s="42"/>
      <c r="F466" s="42"/>
    </row>
    <row r="467">
      <c r="B467" s="18"/>
      <c r="C467" s="18"/>
      <c r="D467" s="18"/>
      <c r="E467" s="42"/>
      <c r="F467" s="42"/>
    </row>
    <row r="468">
      <c r="B468" s="18"/>
      <c r="C468" s="18"/>
      <c r="D468" s="18"/>
      <c r="E468" s="42"/>
      <c r="F468" s="42"/>
    </row>
    <row r="469">
      <c r="B469" s="18"/>
      <c r="C469" s="18"/>
      <c r="D469" s="18"/>
      <c r="E469" s="42"/>
      <c r="F469" s="42"/>
    </row>
    <row r="470">
      <c r="B470" s="18"/>
      <c r="C470" s="18"/>
      <c r="D470" s="18"/>
      <c r="E470" s="42"/>
      <c r="F470" s="42"/>
    </row>
    <row r="471">
      <c r="B471" s="18"/>
      <c r="C471" s="18"/>
      <c r="D471" s="18"/>
      <c r="E471" s="42"/>
      <c r="F471" s="42"/>
    </row>
    <row r="472">
      <c r="B472" s="18"/>
      <c r="C472" s="18"/>
      <c r="D472" s="18"/>
      <c r="E472" s="42"/>
      <c r="F472" s="42"/>
    </row>
    <row r="473">
      <c r="B473" s="18"/>
      <c r="C473" s="18"/>
      <c r="D473" s="18"/>
      <c r="E473" s="42"/>
      <c r="F473" s="42"/>
    </row>
    <row r="474">
      <c r="B474" s="18"/>
      <c r="C474" s="18"/>
      <c r="D474" s="18"/>
      <c r="E474" s="42"/>
      <c r="F474" s="42"/>
    </row>
    <row r="475">
      <c r="B475" s="18"/>
      <c r="C475" s="18"/>
      <c r="D475" s="18"/>
      <c r="E475" s="42"/>
      <c r="F475" s="42"/>
    </row>
    <row r="476">
      <c r="B476" s="18"/>
      <c r="C476" s="18"/>
      <c r="D476" s="18"/>
      <c r="E476" s="42"/>
      <c r="F476" s="42"/>
    </row>
    <row r="477">
      <c r="B477" s="18"/>
      <c r="C477" s="18"/>
      <c r="D477" s="18"/>
      <c r="E477" s="42"/>
      <c r="F477" s="42"/>
    </row>
    <row r="478">
      <c r="B478" s="18"/>
      <c r="C478" s="18"/>
      <c r="D478" s="18"/>
      <c r="E478" s="42"/>
      <c r="F478" s="42"/>
    </row>
    <row r="479">
      <c r="B479" s="18"/>
      <c r="C479" s="18"/>
      <c r="D479" s="18"/>
      <c r="E479" s="42"/>
      <c r="F479" s="42"/>
    </row>
    <row r="480">
      <c r="B480" s="18"/>
      <c r="C480" s="18"/>
      <c r="D480" s="18"/>
      <c r="E480" s="42"/>
      <c r="F480" s="42"/>
    </row>
    <row r="481">
      <c r="B481" s="18"/>
      <c r="C481" s="18"/>
      <c r="D481" s="18"/>
      <c r="E481" s="42"/>
      <c r="F481" s="42"/>
    </row>
    <row r="482">
      <c r="B482" s="18"/>
      <c r="C482" s="18"/>
      <c r="D482" s="18"/>
      <c r="E482" s="42"/>
      <c r="F482" s="42"/>
    </row>
    <row r="483">
      <c r="B483" s="18"/>
      <c r="C483" s="18"/>
      <c r="D483" s="18"/>
      <c r="E483" s="42"/>
      <c r="F483" s="42"/>
    </row>
    <row r="484">
      <c r="B484" s="18"/>
      <c r="C484" s="18"/>
      <c r="D484" s="18"/>
      <c r="E484" s="42"/>
      <c r="F484" s="42"/>
    </row>
    <row r="485">
      <c r="B485" s="18"/>
      <c r="C485" s="18"/>
      <c r="D485" s="18"/>
      <c r="E485" s="42"/>
      <c r="F485" s="42"/>
    </row>
    <row r="486">
      <c r="B486" s="18"/>
      <c r="C486" s="18"/>
      <c r="D486" s="18"/>
      <c r="E486" s="42"/>
      <c r="F486" s="42"/>
    </row>
    <row r="487">
      <c r="B487" s="18"/>
      <c r="C487" s="18"/>
      <c r="D487" s="18"/>
      <c r="E487" s="42"/>
      <c r="F487" s="42"/>
    </row>
    <row r="488">
      <c r="B488" s="18"/>
      <c r="C488" s="18"/>
      <c r="D488" s="18"/>
      <c r="E488" s="42"/>
      <c r="F488" s="42"/>
    </row>
    <row r="489">
      <c r="B489" s="18"/>
      <c r="C489" s="18"/>
      <c r="D489" s="18"/>
      <c r="E489" s="42"/>
      <c r="F489" s="42"/>
    </row>
    <row r="490">
      <c r="B490" s="18"/>
      <c r="C490" s="18"/>
      <c r="D490" s="18"/>
      <c r="E490" s="42"/>
      <c r="F490" s="42"/>
    </row>
    <row r="491">
      <c r="B491" s="18"/>
      <c r="C491" s="18"/>
      <c r="D491" s="18"/>
      <c r="E491" s="42"/>
      <c r="F491" s="42"/>
    </row>
    <row r="492">
      <c r="B492" s="18"/>
      <c r="C492" s="18"/>
      <c r="D492" s="18"/>
      <c r="E492" s="42"/>
      <c r="F492" s="42"/>
    </row>
    <row r="493">
      <c r="B493" s="18"/>
      <c r="C493" s="18"/>
      <c r="D493" s="18"/>
      <c r="E493" s="42"/>
      <c r="F493" s="42"/>
    </row>
    <row r="494">
      <c r="B494" s="18"/>
      <c r="C494" s="18"/>
      <c r="D494" s="18"/>
      <c r="E494" s="42"/>
      <c r="F494" s="42"/>
    </row>
    <row r="495">
      <c r="B495" s="18"/>
      <c r="C495" s="18"/>
      <c r="D495" s="18"/>
      <c r="E495" s="42"/>
      <c r="F495" s="42"/>
    </row>
    <row r="496">
      <c r="B496" s="18"/>
      <c r="C496" s="18"/>
      <c r="D496" s="18"/>
      <c r="E496" s="42"/>
      <c r="F496" s="42"/>
    </row>
    <row r="497">
      <c r="B497" s="18"/>
      <c r="C497" s="18"/>
      <c r="D497" s="18"/>
      <c r="E497" s="42"/>
      <c r="F497" s="42"/>
    </row>
    <row r="498">
      <c r="B498" s="18"/>
      <c r="C498" s="18"/>
      <c r="D498" s="18"/>
      <c r="E498" s="42"/>
      <c r="F498" s="42"/>
    </row>
    <row r="499">
      <c r="B499" s="18"/>
      <c r="C499" s="18"/>
      <c r="D499" s="18"/>
      <c r="E499" s="42"/>
      <c r="F499" s="42"/>
    </row>
    <row r="500">
      <c r="B500" s="18"/>
      <c r="C500" s="18"/>
      <c r="D500" s="18"/>
      <c r="E500" s="42"/>
      <c r="F500" s="42"/>
    </row>
    <row r="501">
      <c r="B501" s="18"/>
      <c r="C501" s="18"/>
      <c r="D501" s="18"/>
      <c r="E501" s="42"/>
      <c r="F501" s="42"/>
    </row>
    <row r="502">
      <c r="B502" s="18"/>
      <c r="C502" s="18"/>
      <c r="D502" s="18"/>
      <c r="E502" s="42"/>
      <c r="F502" s="42"/>
    </row>
    <row r="503">
      <c r="B503" s="18"/>
      <c r="C503" s="18"/>
      <c r="D503" s="18"/>
      <c r="E503" s="42"/>
      <c r="F503" s="42"/>
    </row>
    <row r="504">
      <c r="B504" s="18"/>
      <c r="C504" s="18"/>
      <c r="D504" s="18"/>
      <c r="E504" s="42"/>
      <c r="F504" s="42"/>
    </row>
    <row r="505">
      <c r="B505" s="18"/>
      <c r="C505" s="18"/>
      <c r="D505" s="18"/>
      <c r="E505" s="42"/>
      <c r="F505" s="42"/>
    </row>
    <row r="506">
      <c r="B506" s="18"/>
      <c r="C506" s="18"/>
      <c r="D506" s="18"/>
      <c r="E506" s="42"/>
      <c r="F506" s="42"/>
    </row>
    <row r="507">
      <c r="B507" s="18"/>
      <c r="C507" s="18"/>
      <c r="D507" s="18"/>
      <c r="E507" s="42"/>
      <c r="F507" s="42"/>
    </row>
    <row r="508">
      <c r="B508" s="18"/>
      <c r="C508" s="18"/>
      <c r="D508" s="18"/>
      <c r="E508" s="42"/>
      <c r="F508" s="42"/>
    </row>
    <row r="509">
      <c r="B509" s="18"/>
      <c r="C509" s="18"/>
      <c r="D509" s="18"/>
      <c r="E509" s="42"/>
      <c r="F509" s="42"/>
    </row>
    <row r="510">
      <c r="B510" s="18"/>
      <c r="C510" s="18"/>
      <c r="D510" s="18"/>
      <c r="E510" s="42"/>
      <c r="F510" s="42"/>
    </row>
    <row r="511">
      <c r="B511" s="18"/>
      <c r="C511" s="18"/>
      <c r="D511" s="18"/>
      <c r="E511" s="42"/>
      <c r="F511" s="42"/>
    </row>
    <row r="512">
      <c r="B512" s="18"/>
      <c r="C512" s="18"/>
      <c r="D512" s="18"/>
      <c r="E512" s="42"/>
      <c r="F512" s="42"/>
    </row>
    <row r="513">
      <c r="B513" s="18"/>
      <c r="C513" s="18"/>
      <c r="D513" s="18"/>
      <c r="E513" s="42"/>
      <c r="F513" s="42"/>
    </row>
    <row r="514">
      <c r="B514" s="18"/>
      <c r="C514" s="18"/>
      <c r="D514" s="18"/>
      <c r="E514" s="42"/>
      <c r="F514" s="42"/>
    </row>
    <row r="515">
      <c r="B515" s="18"/>
      <c r="C515" s="18"/>
      <c r="D515" s="18"/>
      <c r="E515" s="42"/>
      <c r="F515" s="42"/>
    </row>
    <row r="516">
      <c r="B516" s="18"/>
      <c r="C516" s="18"/>
      <c r="D516" s="18"/>
      <c r="E516" s="42"/>
      <c r="F516" s="42"/>
    </row>
    <row r="517">
      <c r="B517" s="18"/>
      <c r="C517" s="18"/>
      <c r="D517" s="18"/>
      <c r="E517" s="42"/>
      <c r="F517" s="42"/>
    </row>
    <row r="518">
      <c r="B518" s="18"/>
      <c r="C518" s="18"/>
      <c r="D518" s="18"/>
      <c r="E518" s="42"/>
      <c r="F518" s="42"/>
    </row>
    <row r="519">
      <c r="B519" s="18"/>
      <c r="C519" s="18"/>
      <c r="D519" s="18"/>
      <c r="E519" s="42"/>
      <c r="F519" s="42"/>
    </row>
    <row r="520">
      <c r="B520" s="18"/>
      <c r="C520" s="18"/>
      <c r="D520" s="18"/>
      <c r="E520" s="42"/>
      <c r="F520" s="42"/>
    </row>
    <row r="521">
      <c r="B521" s="18"/>
      <c r="C521" s="18"/>
      <c r="D521" s="18"/>
      <c r="E521" s="42"/>
      <c r="F521" s="42"/>
    </row>
    <row r="522">
      <c r="B522" s="18"/>
      <c r="C522" s="18"/>
      <c r="D522" s="18"/>
      <c r="E522" s="42"/>
      <c r="F522" s="42"/>
    </row>
    <row r="523">
      <c r="B523" s="18"/>
      <c r="C523" s="18"/>
      <c r="D523" s="18"/>
      <c r="E523" s="42"/>
      <c r="F523" s="42"/>
    </row>
    <row r="524">
      <c r="B524" s="18"/>
      <c r="C524" s="18"/>
      <c r="D524" s="18"/>
      <c r="E524" s="42"/>
      <c r="F524" s="42"/>
    </row>
    <row r="525">
      <c r="B525" s="18"/>
      <c r="C525" s="18"/>
      <c r="D525" s="18"/>
      <c r="E525" s="42"/>
      <c r="F525" s="42"/>
    </row>
    <row r="526">
      <c r="B526" s="18"/>
      <c r="C526" s="18"/>
      <c r="D526" s="18"/>
      <c r="E526" s="42"/>
      <c r="F526" s="42"/>
    </row>
    <row r="527">
      <c r="B527" s="18"/>
      <c r="C527" s="18"/>
      <c r="D527" s="18"/>
      <c r="E527" s="42"/>
      <c r="F527" s="42"/>
    </row>
    <row r="528">
      <c r="B528" s="18"/>
      <c r="C528" s="18"/>
      <c r="D528" s="18"/>
      <c r="E528" s="42"/>
      <c r="F528" s="42"/>
    </row>
    <row r="529">
      <c r="B529" s="18"/>
      <c r="C529" s="18"/>
      <c r="D529" s="18"/>
      <c r="E529" s="42"/>
      <c r="F529" s="42"/>
    </row>
    <row r="530">
      <c r="B530" s="18"/>
      <c r="C530" s="18"/>
      <c r="D530" s="18"/>
      <c r="E530" s="42"/>
      <c r="F530" s="42"/>
    </row>
    <row r="531">
      <c r="B531" s="18"/>
      <c r="C531" s="18"/>
      <c r="D531" s="18"/>
      <c r="E531" s="42"/>
      <c r="F531" s="42"/>
    </row>
    <row r="532">
      <c r="B532" s="18"/>
      <c r="C532" s="18"/>
      <c r="D532" s="18"/>
      <c r="E532" s="42"/>
      <c r="F532" s="42"/>
    </row>
    <row r="533">
      <c r="B533" s="18"/>
      <c r="C533" s="18"/>
      <c r="D533" s="18"/>
      <c r="E533" s="42"/>
      <c r="F533" s="42"/>
    </row>
    <row r="534">
      <c r="B534" s="18"/>
      <c r="C534" s="18"/>
      <c r="D534" s="18"/>
      <c r="E534" s="42"/>
      <c r="F534" s="42"/>
    </row>
    <row r="535">
      <c r="B535" s="18"/>
      <c r="C535" s="18"/>
      <c r="D535" s="18"/>
      <c r="E535" s="42"/>
      <c r="F535" s="42"/>
    </row>
    <row r="536">
      <c r="B536" s="18"/>
      <c r="C536" s="18"/>
      <c r="D536" s="18"/>
      <c r="E536" s="42"/>
      <c r="F536" s="42"/>
    </row>
    <row r="537">
      <c r="B537" s="18"/>
      <c r="C537" s="18"/>
      <c r="D537" s="18"/>
      <c r="E537" s="42"/>
      <c r="F537" s="42"/>
    </row>
    <row r="538">
      <c r="B538" s="18"/>
      <c r="C538" s="18"/>
      <c r="D538" s="18"/>
      <c r="E538" s="42"/>
      <c r="F538" s="42"/>
    </row>
    <row r="539">
      <c r="B539" s="18"/>
      <c r="C539" s="18"/>
      <c r="D539" s="18"/>
      <c r="E539" s="42"/>
      <c r="F539" s="42"/>
    </row>
    <row r="540">
      <c r="B540" s="18"/>
      <c r="C540" s="18"/>
      <c r="D540" s="18"/>
      <c r="E540" s="42"/>
      <c r="F540" s="42"/>
    </row>
    <row r="541">
      <c r="B541" s="18"/>
      <c r="C541" s="18"/>
      <c r="D541" s="18"/>
      <c r="E541" s="42"/>
      <c r="F541" s="42"/>
    </row>
    <row r="542">
      <c r="B542" s="18"/>
      <c r="C542" s="18"/>
      <c r="D542" s="18"/>
      <c r="E542" s="42"/>
      <c r="F542" s="42"/>
    </row>
    <row r="543">
      <c r="B543" s="18"/>
      <c r="C543" s="18"/>
      <c r="D543" s="18"/>
      <c r="E543" s="42"/>
      <c r="F543" s="42"/>
    </row>
    <row r="544">
      <c r="B544" s="18"/>
      <c r="C544" s="18"/>
      <c r="D544" s="18"/>
      <c r="E544" s="42"/>
      <c r="F544" s="42"/>
    </row>
    <row r="545">
      <c r="B545" s="18"/>
      <c r="C545" s="18"/>
      <c r="D545" s="18"/>
      <c r="E545" s="42"/>
      <c r="F545" s="42"/>
    </row>
    <row r="546">
      <c r="B546" s="18"/>
      <c r="C546" s="18"/>
      <c r="D546" s="18"/>
      <c r="E546" s="42"/>
      <c r="F546" s="42"/>
    </row>
    <row r="547">
      <c r="B547" s="18"/>
      <c r="C547" s="18"/>
      <c r="D547" s="18"/>
      <c r="E547" s="42"/>
      <c r="F547" s="42"/>
    </row>
    <row r="548">
      <c r="B548" s="18"/>
      <c r="C548" s="18"/>
      <c r="D548" s="18"/>
      <c r="E548" s="42"/>
      <c r="F548" s="42"/>
    </row>
    <row r="549">
      <c r="B549" s="18"/>
      <c r="C549" s="18"/>
      <c r="D549" s="18"/>
      <c r="E549" s="42"/>
      <c r="F549" s="42"/>
    </row>
    <row r="550">
      <c r="B550" s="18"/>
      <c r="C550" s="18"/>
      <c r="D550" s="18"/>
      <c r="E550" s="42"/>
      <c r="F550" s="42"/>
    </row>
    <row r="551">
      <c r="B551" s="18"/>
      <c r="C551" s="18"/>
      <c r="D551" s="18"/>
      <c r="E551" s="42"/>
      <c r="F551" s="42"/>
    </row>
    <row r="552">
      <c r="B552" s="18"/>
      <c r="C552" s="18"/>
      <c r="D552" s="18"/>
      <c r="E552" s="42"/>
      <c r="F552" s="42"/>
    </row>
    <row r="553">
      <c r="B553" s="18"/>
      <c r="C553" s="18"/>
      <c r="D553" s="18"/>
      <c r="E553" s="42"/>
      <c r="F553" s="42"/>
    </row>
    <row r="554">
      <c r="B554" s="18"/>
      <c r="C554" s="18"/>
      <c r="D554" s="18"/>
      <c r="E554" s="42"/>
      <c r="F554" s="42"/>
    </row>
    <row r="555">
      <c r="B555" s="18"/>
      <c r="C555" s="18"/>
      <c r="D555" s="18"/>
      <c r="E555" s="42"/>
      <c r="F555" s="42"/>
    </row>
    <row r="556">
      <c r="B556" s="18"/>
      <c r="C556" s="18"/>
      <c r="D556" s="18"/>
      <c r="E556" s="42"/>
      <c r="F556" s="42"/>
    </row>
    <row r="557">
      <c r="B557" s="18"/>
      <c r="C557" s="18"/>
      <c r="D557" s="18"/>
      <c r="E557" s="42"/>
      <c r="F557" s="42"/>
    </row>
    <row r="558">
      <c r="B558" s="18"/>
      <c r="C558" s="18"/>
      <c r="D558" s="18"/>
      <c r="E558" s="42"/>
      <c r="F558" s="42"/>
    </row>
    <row r="559">
      <c r="B559" s="18"/>
      <c r="C559" s="18"/>
      <c r="D559" s="18"/>
      <c r="E559" s="42"/>
      <c r="F559" s="42"/>
    </row>
    <row r="560">
      <c r="B560" s="18"/>
      <c r="C560" s="18"/>
      <c r="D560" s="18"/>
      <c r="E560" s="42"/>
      <c r="F560" s="42"/>
    </row>
    <row r="561">
      <c r="B561" s="18"/>
      <c r="C561" s="18"/>
      <c r="D561" s="18"/>
      <c r="E561" s="42"/>
      <c r="F561" s="42"/>
    </row>
    <row r="562">
      <c r="B562" s="18"/>
      <c r="C562" s="18"/>
      <c r="D562" s="18"/>
      <c r="E562" s="42"/>
      <c r="F562" s="42"/>
    </row>
    <row r="563">
      <c r="B563" s="18"/>
      <c r="C563" s="18"/>
      <c r="D563" s="18"/>
      <c r="E563" s="42"/>
      <c r="F563" s="42"/>
    </row>
    <row r="564">
      <c r="B564" s="18"/>
      <c r="C564" s="18"/>
      <c r="D564" s="18"/>
      <c r="E564" s="42"/>
      <c r="F564" s="42"/>
    </row>
    <row r="565">
      <c r="B565" s="18"/>
      <c r="C565" s="18"/>
      <c r="D565" s="18"/>
      <c r="E565" s="42"/>
      <c r="F565" s="42"/>
    </row>
    <row r="566">
      <c r="B566" s="18"/>
      <c r="C566" s="18"/>
      <c r="D566" s="18"/>
      <c r="E566" s="42"/>
      <c r="F566" s="42"/>
    </row>
    <row r="567">
      <c r="B567" s="18"/>
      <c r="C567" s="18"/>
      <c r="D567" s="18"/>
      <c r="E567" s="42"/>
      <c r="F567" s="42"/>
    </row>
    <row r="568">
      <c r="B568" s="18"/>
      <c r="C568" s="18"/>
      <c r="D568" s="18"/>
      <c r="E568" s="42"/>
      <c r="F568" s="42"/>
    </row>
    <row r="569">
      <c r="B569" s="18"/>
      <c r="C569" s="18"/>
      <c r="D569" s="18"/>
      <c r="E569" s="42"/>
      <c r="F569" s="42"/>
    </row>
    <row r="570">
      <c r="B570" s="18"/>
      <c r="C570" s="18"/>
      <c r="D570" s="18"/>
      <c r="E570" s="42"/>
      <c r="F570" s="42"/>
    </row>
    <row r="571">
      <c r="B571" s="18"/>
      <c r="C571" s="18"/>
      <c r="D571" s="18"/>
      <c r="E571" s="42"/>
      <c r="F571" s="42"/>
    </row>
    <row r="572">
      <c r="B572" s="18"/>
      <c r="C572" s="18"/>
      <c r="D572" s="18"/>
      <c r="E572" s="42"/>
      <c r="F572" s="42"/>
    </row>
    <row r="573">
      <c r="B573" s="18"/>
      <c r="C573" s="18"/>
      <c r="D573" s="18"/>
      <c r="E573" s="42"/>
      <c r="F573" s="42"/>
    </row>
    <row r="574">
      <c r="B574" s="18"/>
      <c r="C574" s="18"/>
      <c r="D574" s="18"/>
      <c r="E574" s="42"/>
      <c r="F574" s="42"/>
    </row>
    <row r="575">
      <c r="B575" s="18"/>
      <c r="C575" s="18"/>
      <c r="D575" s="18"/>
      <c r="E575" s="42"/>
      <c r="F575" s="42"/>
    </row>
    <row r="576">
      <c r="B576" s="18"/>
      <c r="C576" s="18"/>
      <c r="D576" s="18"/>
      <c r="E576" s="42"/>
      <c r="F576" s="42"/>
    </row>
    <row r="577">
      <c r="B577" s="18"/>
      <c r="C577" s="18"/>
      <c r="D577" s="18"/>
      <c r="E577" s="42"/>
      <c r="F577" s="42"/>
    </row>
    <row r="578">
      <c r="B578" s="18"/>
      <c r="C578" s="18"/>
      <c r="D578" s="18"/>
      <c r="E578" s="42"/>
      <c r="F578" s="42"/>
    </row>
    <row r="579">
      <c r="B579" s="18"/>
      <c r="C579" s="18"/>
      <c r="D579" s="18"/>
      <c r="E579" s="42"/>
      <c r="F579" s="42"/>
    </row>
    <row r="580">
      <c r="B580" s="18"/>
      <c r="C580" s="18"/>
      <c r="D580" s="18"/>
      <c r="E580" s="42"/>
      <c r="F580" s="42"/>
    </row>
    <row r="581">
      <c r="B581" s="18"/>
      <c r="C581" s="18"/>
      <c r="D581" s="18"/>
      <c r="E581" s="42"/>
      <c r="F581" s="42"/>
    </row>
    <row r="582">
      <c r="B582" s="18"/>
      <c r="C582" s="18"/>
      <c r="D582" s="18"/>
      <c r="E582" s="42"/>
      <c r="F582" s="42"/>
    </row>
    <row r="583">
      <c r="B583" s="18"/>
      <c r="C583" s="18"/>
      <c r="D583" s="18"/>
      <c r="E583" s="42"/>
      <c r="F583" s="42"/>
    </row>
    <row r="584">
      <c r="B584" s="18"/>
      <c r="C584" s="18"/>
      <c r="D584" s="18"/>
      <c r="E584" s="42"/>
      <c r="F584" s="42"/>
    </row>
    <row r="585">
      <c r="B585" s="18"/>
      <c r="C585" s="18"/>
      <c r="D585" s="18"/>
      <c r="E585" s="42"/>
      <c r="F585" s="42"/>
    </row>
    <row r="586">
      <c r="B586" s="18"/>
      <c r="C586" s="18"/>
      <c r="D586" s="18"/>
      <c r="E586" s="42"/>
      <c r="F586" s="42"/>
    </row>
    <row r="587">
      <c r="B587" s="18"/>
      <c r="C587" s="18"/>
      <c r="D587" s="18"/>
      <c r="E587" s="42"/>
      <c r="F587" s="42"/>
    </row>
    <row r="588">
      <c r="B588" s="18"/>
      <c r="C588" s="18"/>
      <c r="D588" s="18"/>
      <c r="E588" s="42"/>
      <c r="F588" s="42"/>
    </row>
    <row r="589">
      <c r="B589" s="18"/>
      <c r="C589" s="18"/>
      <c r="D589" s="18"/>
      <c r="E589" s="42"/>
      <c r="F589" s="42"/>
    </row>
    <row r="590">
      <c r="B590" s="18"/>
      <c r="C590" s="18"/>
      <c r="D590" s="18"/>
      <c r="E590" s="42"/>
      <c r="F590" s="42"/>
    </row>
    <row r="591">
      <c r="B591" s="18"/>
      <c r="C591" s="18"/>
      <c r="D591" s="18"/>
      <c r="E591" s="42"/>
      <c r="F591" s="42"/>
    </row>
    <row r="592">
      <c r="B592" s="18"/>
      <c r="C592" s="18"/>
      <c r="D592" s="18"/>
      <c r="E592" s="42"/>
      <c r="F592" s="42"/>
    </row>
    <row r="593">
      <c r="B593" s="18"/>
      <c r="C593" s="18"/>
      <c r="D593" s="18"/>
      <c r="E593" s="42"/>
      <c r="F593" s="42"/>
    </row>
    <row r="594">
      <c r="B594" s="18"/>
      <c r="C594" s="18"/>
      <c r="D594" s="18"/>
      <c r="E594" s="42"/>
      <c r="F594" s="42"/>
    </row>
    <row r="595">
      <c r="B595" s="18"/>
      <c r="C595" s="18"/>
      <c r="D595" s="18"/>
      <c r="E595" s="42"/>
      <c r="F595" s="42"/>
    </row>
    <row r="596">
      <c r="B596" s="18"/>
      <c r="C596" s="18"/>
      <c r="D596" s="18"/>
      <c r="E596" s="42"/>
      <c r="F596" s="42"/>
    </row>
    <row r="597">
      <c r="B597" s="18"/>
      <c r="C597" s="18"/>
      <c r="D597" s="18"/>
      <c r="E597" s="42"/>
      <c r="F597" s="42"/>
    </row>
    <row r="598">
      <c r="B598" s="18"/>
      <c r="C598" s="18"/>
      <c r="D598" s="18"/>
      <c r="E598" s="42"/>
      <c r="F598" s="42"/>
    </row>
    <row r="599">
      <c r="B599" s="18"/>
      <c r="C599" s="18"/>
      <c r="D599" s="18"/>
      <c r="E599" s="42"/>
      <c r="F599" s="42"/>
    </row>
    <row r="600">
      <c r="B600" s="18"/>
      <c r="C600" s="18"/>
      <c r="D600" s="18"/>
      <c r="E600" s="42"/>
      <c r="F600" s="42"/>
    </row>
    <row r="601">
      <c r="B601" s="18"/>
      <c r="C601" s="18"/>
      <c r="D601" s="18"/>
      <c r="E601" s="42"/>
      <c r="F601" s="42"/>
    </row>
    <row r="602">
      <c r="B602" s="18"/>
      <c r="C602" s="18"/>
      <c r="D602" s="18"/>
      <c r="E602" s="42"/>
      <c r="F602" s="42"/>
    </row>
    <row r="603">
      <c r="B603" s="18"/>
      <c r="C603" s="18"/>
      <c r="D603" s="18"/>
      <c r="E603" s="42"/>
      <c r="F603" s="42"/>
    </row>
    <row r="604">
      <c r="B604" s="18"/>
      <c r="C604" s="18"/>
      <c r="D604" s="18"/>
      <c r="E604" s="42"/>
      <c r="F604" s="42"/>
    </row>
    <row r="605">
      <c r="B605" s="18"/>
      <c r="C605" s="18"/>
      <c r="D605" s="18"/>
      <c r="E605" s="42"/>
      <c r="F605" s="42"/>
    </row>
    <row r="606">
      <c r="B606" s="18"/>
      <c r="C606" s="18"/>
      <c r="D606" s="18"/>
      <c r="E606" s="42"/>
      <c r="F606" s="42"/>
    </row>
    <row r="607">
      <c r="B607" s="18"/>
      <c r="C607" s="18"/>
      <c r="D607" s="18"/>
      <c r="E607" s="42"/>
      <c r="F607" s="42"/>
    </row>
    <row r="608">
      <c r="B608" s="18"/>
      <c r="C608" s="18"/>
      <c r="D608" s="18"/>
      <c r="E608" s="42"/>
      <c r="F608" s="42"/>
    </row>
    <row r="609">
      <c r="B609" s="18"/>
      <c r="C609" s="18"/>
      <c r="D609" s="18"/>
      <c r="E609" s="42"/>
      <c r="F609" s="42"/>
    </row>
    <row r="610">
      <c r="B610" s="18"/>
      <c r="C610" s="18"/>
      <c r="D610" s="18"/>
      <c r="E610" s="42"/>
      <c r="F610" s="42"/>
    </row>
    <row r="611">
      <c r="B611" s="18"/>
      <c r="C611" s="18"/>
      <c r="D611" s="18"/>
      <c r="E611" s="42"/>
      <c r="F611" s="42"/>
    </row>
    <row r="612">
      <c r="B612" s="18"/>
      <c r="C612" s="18"/>
      <c r="D612" s="18"/>
      <c r="E612" s="42"/>
      <c r="F612" s="42"/>
    </row>
    <row r="613">
      <c r="B613" s="18"/>
      <c r="C613" s="18"/>
      <c r="D613" s="18"/>
      <c r="E613" s="42"/>
      <c r="F613" s="42"/>
    </row>
    <row r="614">
      <c r="B614" s="18"/>
      <c r="C614" s="18"/>
      <c r="D614" s="18"/>
      <c r="E614" s="42"/>
      <c r="F614" s="42"/>
    </row>
    <row r="615">
      <c r="B615" s="18"/>
      <c r="C615" s="18"/>
      <c r="D615" s="18"/>
      <c r="E615" s="42"/>
      <c r="F615" s="42"/>
    </row>
    <row r="616">
      <c r="B616" s="18"/>
      <c r="C616" s="18"/>
      <c r="D616" s="18"/>
      <c r="E616" s="42"/>
      <c r="F616" s="42"/>
    </row>
    <row r="617">
      <c r="B617" s="18"/>
      <c r="C617" s="18"/>
      <c r="D617" s="18"/>
      <c r="E617" s="42"/>
      <c r="F617" s="42"/>
    </row>
    <row r="618">
      <c r="B618" s="18"/>
      <c r="C618" s="18"/>
      <c r="D618" s="18"/>
      <c r="E618" s="42"/>
      <c r="F618" s="42"/>
    </row>
    <row r="619">
      <c r="B619" s="18"/>
      <c r="C619" s="18"/>
      <c r="D619" s="18"/>
      <c r="E619" s="42"/>
      <c r="F619" s="42"/>
    </row>
    <row r="620">
      <c r="B620" s="18"/>
      <c r="C620" s="18"/>
      <c r="D620" s="18"/>
      <c r="E620" s="42"/>
      <c r="F620" s="42"/>
    </row>
    <row r="621">
      <c r="B621" s="18"/>
      <c r="C621" s="18"/>
      <c r="D621" s="18"/>
      <c r="E621" s="42"/>
      <c r="F621" s="42"/>
    </row>
    <row r="622">
      <c r="B622" s="18"/>
      <c r="C622" s="18"/>
      <c r="D622" s="18"/>
      <c r="E622" s="42"/>
      <c r="F622" s="42"/>
    </row>
    <row r="623">
      <c r="B623" s="18"/>
      <c r="C623" s="18"/>
      <c r="D623" s="18"/>
      <c r="E623" s="42"/>
      <c r="F623" s="42"/>
    </row>
    <row r="624">
      <c r="B624" s="18"/>
      <c r="C624" s="18"/>
      <c r="D624" s="18"/>
      <c r="E624" s="42"/>
      <c r="F624" s="42"/>
    </row>
    <row r="625">
      <c r="B625" s="18"/>
      <c r="C625" s="18"/>
      <c r="D625" s="18"/>
      <c r="E625" s="42"/>
      <c r="F625" s="42"/>
    </row>
    <row r="626">
      <c r="B626" s="18"/>
      <c r="C626" s="18"/>
      <c r="D626" s="18"/>
      <c r="E626" s="42"/>
      <c r="F626" s="42"/>
    </row>
    <row r="627">
      <c r="B627" s="18"/>
      <c r="C627" s="18"/>
      <c r="D627" s="18"/>
      <c r="E627" s="42"/>
      <c r="F627" s="42"/>
    </row>
    <row r="628">
      <c r="B628" s="18"/>
      <c r="C628" s="18"/>
      <c r="D628" s="18"/>
      <c r="E628" s="42"/>
      <c r="F628" s="42"/>
    </row>
    <row r="629">
      <c r="B629" s="18"/>
      <c r="C629" s="18"/>
      <c r="D629" s="18"/>
      <c r="E629" s="42"/>
      <c r="F629" s="42"/>
    </row>
    <row r="630">
      <c r="B630" s="18"/>
      <c r="C630" s="18"/>
      <c r="D630" s="18"/>
      <c r="E630" s="42"/>
      <c r="F630" s="42"/>
    </row>
    <row r="631">
      <c r="B631" s="18"/>
      <c r="C631" s="18"/>
      <c r="D631" s="18"/>
      <c r="E631" s="42"/>
      <c r="F631" s="42"/>
    </row>
    <row r="632">
      <c r="B632" s="18"/>
      <c r="C632" s="18"/>
      <c r="D632" s="18"/>
      <c r="E632" s="42"/>
      <c r="F632" s="42"/>
    </row>
    <row r="633">
      <c r="B633" s="18"/>
      <c r="C633" s="18"/>
      <c r="D633" s="18"/>
      <c r="E633" s="42"/>
      <c r="F633" s="42"/>
    </row>
    <row r="634">
      <c r="B634" s="18"/>
      <c r="C634" s="18"/>
      <c r="D634" s="18"/>
      <c r="E634" s="42"/>
      <c r="F634" s="42"/>
    </row>
    <row r="635">
      <c r="B635" s="18"/>
      <c r="C635" s="18"/>
      <c r="D635" s="18"/>
      <c r="E635" s="42"/>
      <c r="F635" s="42"/>
    </row>
    <row r="636">
      <c r="B636" s="18"/>
      <c r="C636" s="18"/>
      <c r="D636" s="18"/>
      <c r="E636" s="42"/>
      <c r="F636" s="42"/>
    </row>
    <row r="637">
      <c r="B637" s="18"/>
      <c r="C637" s="18"/>
      <c r="D637" s="18"/>
      <c r="E637" s="42"/>
      <c r="F637" s="42"/>
    </row>
    <row r="638">
      <c r="B638" s="18"/>
      <c r="C638" s="18"/>
      <c r="D638" s="18"/>
      <c r="E638" s="42"/>
      <c r="F638" s="42"/>
    </row>
    <row r="639">
      <c r="B639" s="18"/>
      <c r="C639" s="18"/>
      <c r="D639" s="18"/>
      <c r="E639" s="42"/>
      <c r="F639" s="42"/>
    </row>
    <row r="640">
      <c r="B640" s="18"/>
      <c r="C640" s="18"/>
      <c r="D640" s="18"/>
      <c r="E640" s="42"/>
      <c r="F640" s="42"/>
    </row>
    <row r="641">
      <c r="B641" s="18"/>
      <c r="C641" s="18"/>
      <c r="D641" s="18"/>
      <c r="E641" s="42"/>
      <c r="F641" s="42"/>
    </row>
    <row r="642">
      <c r="B642" s="18"/>
      <c r="C642" s="18"/>
      <c r="D642" s="18"/>
      <c r="E642" s="42"/>
      <c r="F642" s="42"/>
    </row>
    <row r="643">
      <c r="B643" s="18"/>
      <c r="C643" s="18"/>
      <c r="D643" s="18"/>
      <c r="E643" s="42"/>
      <c r="F643" s="42"/>
    </row>
    <row r="644">
      <c r="B644" s="18"/>
      <c r="C644" s="18"/>
      <c r="D644" s="18"/>
      <c r="E644" s="42"/>
      <c r="F644" s="42"/>
    </row>
    <row r="645">
      <c r="B645" s="18"/>
      <c r="C645" s="18"/>
      <c r="D645" s="18"/>
      <c r="E645" s="42"/>
      <c r="F645" s="42"/>
    </row>
    <row r="646">
      <c r="B646" s="18"/>
      <c r="C646" s="18"/>
      <c r="D646" s="18"/>
      <c r="E646" s="42"/>
      <c r="F646" s="42"/>
    </row>
    <row r="647">
      <c r="B647" s="18"/>
      <c r="C647" s="18"/>
      <c r="D647" s="18"/>
      <c r="E647" s="42"/>
      <c r="F647" s="42"/>
    </row>
    <row r="648">
      <c r="B648" s="18"/>
      <c r="C648" s="18"/>
      <c r="D648" s="18"/>
      <c r="E648" s="42"/>
      <c r="F648" s="42"/>
    </row>
    <row r="649">
      <c r="B649" s="18"/>
      <c r="C649" s="18"/>
      <c r="D649" s="18"/>
      <c r="E649" s="42"/>
      <c r="F649" s="42"/>
    </row>
    <row r="650">
      <c r="B650" s="18"/>
      <c r="C650" s="18"/>
      <c r="D650" s="18"/>
      <c r="E650" s="42"/>
      <c r="F650" s="42"/>
    </row>
    <row r="651">
      <c r="B651" s="18"/>
      <c r="C651" s="18"/>
      <c r="D651" s="18"/>
      <c r="E651" s="42"/>
      <c r="F651" s="42"/>
    </row>
    <row r="652">
      <c r="B652" s="18"/>
      <c r="C652" s="18"/>
      <c r="D652" s="18"/>
      <c r="E652" s="42"/>
      <c r="F652" s="42"/>
    </row>
    <row r="653">
      <c r="B653" s="18"/>
      <c r="C653" s="18"/>
      <c r="D653" s="18"/>
      <c r="E653" s="42"/>
      <c r="F653" s="42"/>
    </row>
    <row r="654">
      <c r="B654" s="18"/>
      <c r="C654" s="18"/>
      <c r="D654" s="18"/>
      <c r="E654" s="42"/>
      <c r="F654" s="42"/>
    </row>
    <row r="655">
      <c r="B655" s="18"/>
      <c r="C655" s="18"/>
      <c r="D655" s="18"/>
      <c r="E655" s="42"/>
      <c r="F655" s="42"/>
    </row>
    <row r="656">
      <c r="B656" s="18"/>
      <c r="C656" s="18"/>
      <c r="D656" s="18"/>
      <c r="E656" s="42"/>
      <c r="F656" s="42"/>
    </row>
    <row r="657">
      <c r="B657" s="18"/>
      <c r="C657" s="18"/>
      <c r="D657" s="18"/>
      <c r="E657" s="42"/>
      <c r="F657" s="42"/>
    </row>
    <row r="658">
      <c r="B658" s="18"/>
      <c r="C658" s="18"/>
      <c r="D658" s="18"/>
      <c r="E658" s="42"/>
      <c r="F658" s="42"/>
    </row>
    <row r="659">
      <c r="B659" s="18"/>
      <c r="C659" s="18"/>
      <c r="D659" s="18"/>
      <c r="E659" s="42"/>
      <c r="F659" s="42"/>
    </row>
    <row r="660">
      <c r="B660" s="18"/>
      <c r="C660" s="18"/>
      <c r="D660" s="18"/>
      <c r="E660" s="42"/>
      <c r="F660" s="42"/>
    </row>
    <row r="661">
      <c r="B661" s="18"/>
      <c r="C661" s="18"/>
      <c r="D661" s="18"/>
      <c r="E661" s="42"/>
      <c r="F661" s="42"/>
    </row>
    <row r="662">
      <c r="B662" s="18"/>
      <c r="C662" s="18"/>
      <c r="D662" s="18"/>
      <c r="E662" s="42"/>
      <c r="F662" s="42"/>
    </row>
    <row r="663">
      <c r="B663" s="18"/>
      <c r="C663" s="18"/>
      <c r="D663" s="18"/>
      <c r="E663" s="42"/>
      <c r="F663" s="42"/>
    </row>
    <row r="664">
      <c r="B664" s="18"/>
      <c r="C664" s="18"/>
      <c r="D664" s="18"/>
      <c r="E664" s="42"/>
      <c r="F664" s="42"/>
    </row>
    <row r="665">
      <c r="B665" s="18"/>
      <c r="C665" s="18"/>
      <c r="D665" s="18"/>
      <c r="E665" s="42"/>
      <c r="F665" s="42"/>
    </row>
    <row r="666">
      <c r="B666" s="18"/>
      <c r="C666" s="18"/>
      <c r="D666" s="18"/>
      <c r="E666" s="42"/>
      <c r="F666" s="42"/>
    </row>
    <row r="667">
      <c r="B667" s="18"/>
      <c r="C667" s="18"/>
      <c r="D667" s="18"/>
      <c r="E667" s="42"/>
      <c r="F667" s="42"/>
    </row>
    <row r="668">
      <c r="B668" s="18"/>
      <c r="C668" s="18"/>
      <c r="D668" s="18"/>
      <c r="E668" s="42"/>
      <c r="F668" s="42"/>
    </row>
    <row r="669">
      <c r="B669" s="18"/>
      <c r="C669" s="18"/>
      <c r="D669" s="18"/>
      <c r="E669" s="42"/>
      <c r="F669" s="42"/>
    </row>
    <row r="670">
      <c r="B670" s="18"/>
      <c r="C670" s="18"/>
      <c r="D670" s="18"/>
      <c r="E670" s="42"/>
      <c r="F670" s="42"/>
    </row>
    <row r="671">
      <c r="B671" s="18"/>
      <c r="C671" s="18"/>
      <c r="D671" s="18"/>
      <c r="E671" s="42"/>
      <c r="F671" s="42"/>
    </row>
    <row r="672">
      <c r="B672" s="18"/>
      <c r="C672" s="18"/>
      <c r="D672" s="18"/>
      <c r="E672" s="42"/>
      <c r="F672" s="42"/>
    </row>
    <row r="673">
      <c r="B673" s="18"/>
      <c r="C673" s="18"/>
      <c r="D673" s="18"/>
      <c r="E673" s="42"/>
      <c r="F673" s="42"/>
    </row>
    <row r="674">
      <c r="B674" s="18"/>
      <c r="C674" s="18"/>
      <c r="D674" s="18"/>
      <c r="E674" s="42"/>
      <c r="F674" s="42"/>
    </row>
    <row r="675">
      <c r="B675" s="18"/>
      <c r="C675" s="18"/>
      <c r="D675" s="18"/>
      <c r="E675" s="42"/>
      <c r="F675" s="42"/>
    </row>
    <row r="676">
      <c r="B676" s="18"/>
      <c r="C676" s="18"/>
      <c r="D676" s="18"/>
      <c r="E676" s="42"/>
      <c r="F676" s="42"/>
    </row>
    <row r="677">
      <c r="B677" s="18"/>
      <c r="C677" s="18"/>
      <c r="D677" s="18"/>
      <c r="E677" s="42"/>
      <c r="F677" s="42"/>
    </row>
    <row r="678">
      <c r="B678" s="18"/>
      <c r="C678" s="18"/>
      <c r="D678" s="18"/>
      <c r="E678" s="42"/>
      <c r="F678" s="42"/>
    </row>
    <row r="679">
      <c r="B679" s="18"/>
      <c r="C679" s="18"/>
      <c r="D679" s="18"/>
      <c r="E679" s="42"/>
      <c r="F679" s="42"/>
    </row>
    <row r="680">
      <c r="B680" s="18"/>
      <c r="C680" s="18"/>
      <c r="D680" s="18"/>
      <c r="E680" s="42"/>
      <c r="F680" s="42"/>
    </row>
    <row r="681">
      <c r="B681" s="18"/>
      <c r="C681" s="18"/>
      <c r="D681" s="18"/>
      <c r="E681" s="42"/>
      <c r="F681" s="42"/>
    </row>
    <row r="682">
      <c r="B682" s="18"/>
      <c r="C682" s="18"/>
      <c r="D682" s="18"/>
      <c r="E682" s="42"/>
      <c r="F682" s="42"/>
    </row>
    <row r="683">
      <c r="B683" s="18"/>
      <c r="C683" s="18"/>
      <c r="D683" s="18"/>
      <c r="E683" s="42"/>
      <c r="F683" s="42"/>
    </row>
    <row r="684">
      <c r="B684" s="18"/>
      <c r="C684" s="18"/>
      <c r="D684" s="18"/>
      <c r="E684" s="42"/>
      <c r="F684" s="42"/>
    </row>
    <row r="685">
      <c r="B685" s="18"/>
      <c r="C685" s="18"/>
      <c r="D685" s="18"/>
      <c r="E685" s="42"/>
      <c r="F685" s="42"/>
    </row>
    <row r="686">
      <c r="B686" s="18"/>
      <c r="C686" s="18"/>
      <c r="D686" s="18"/>
      <c r="E686" s="42"/>
      <c r="F686" s="42"/>
    </row>
    <row r="687">
      <c r="B687" s="18"/>
      <c r="C687" s="18"/>
      <c r="D687" s="18"/>
      <c r="E687" s="42"/>
      <c r="F687" s="42"/>
    </row>
    <row r="688">
      <c r="B688" s="18"/>
      <c r="C688" s="18"/>
      <c r="D688" s="18"/>
      <c r="E688" s="42"/>
      <c r="F688" s="42"/>
    </row>
    <row r="689">
      <c r="B689" s="18"/>
      <c r="C689" s="18"/>
      <c r="D689" s="18"/>
      <c r="E689" s="42"/>
      <c r="F689" s="42"/>
    </row>
    <row r="690">
      <c r="B690" s="18"/>
      <c r="C690" s="18"/>
      <c r="D690" s="18"/>
      <c r="E690" s="42"/>
      <c r="F690" s="42"/>
    </row>
    <row r="691">
      <c r="B691" s="18"/>
      <c r="C691" s="18"/>
      <c r="D691" s="18"/>
      <c r="E691" s="42"/>
      <c r="F691" s="42"/>
    </row>
    <row r="692">
      <c r="B692" s="18"/>
      <c r="C692" s="18"/>
      <c r="D692" s="18"/>
      <c r="E692" s="42"/>
      <c r="F692" s="42"/>
    </row>
    <row r="693">
      <c r="B693" s="18"/>
      <c r="C693" s="18"/>
      <c r="D693" s="18"/>
      <c r="E693" s="42"/>
      <c r="F693" s="42"/>
    </row>
    <row r="694">
      <c r="B694" s="18"/>
      <c r="C694" s="18"/>
      <c r="D694" s="18"/>
      <c r="E694" s="42"/>
      <c r="F694" s="42"/>
    </row>
    <row r="695">
      <c r="B695" s="18"/>
      <c r="C695" s="18"/>
      <c r="D695" s="18"/>
      <c r="E695" s="42"/>
      <c r="F695" s="42"/>
    </row>
    <row r="696">
      <c r="B696" s="18"/>
      <c r="C696" s="18"/>
      <c r="D696" s="18"/>
      <c r="E696" s="42"/>
      <c r="F696" s="42"/>
    </row>
    <row r="697">
      <c r="B697" s="18"/>
      <c r="C697" s="18"/>
      <c r="D697" s="18"/>
      <c r="E697" s="42"/>
      <c r="F697" s="42"/>
    </row>
    <row r="698">
      <c r="B698" s="18"/>
      <c r="C698" s="18"/>
      <c r="D698" s="18"/>
      <c r="E698" s="42"/>
      <c r="F698" s="42"/>
    </row>
    <row r="699">
      <c r="B699" s="18"/>
      <c r="C699" s="18"/>
      <c r="D699" s="18"/>
      <c r="E699" s="42"/>
      <c r="F699" s="42"/>
    </row>
    <row r="700">
      <c r="B700" s="18"/>
      <c r="C700" s="18"/>
      <c r="D700" s="18"/>
      <c r="E700" s="42"/>
      <c r="F700" s="42"/>
    </row>
    <row r="701">
      <c r="B701" s="18"/>
      <c r="C701" s="18"/>
      <c r="D701" s="18"/>
      <c r="E701" s="42"/>
      <c r="F701" s="42"/>
    </row>
    <row r="702">
      <c r="B702" s="18"/>
      <c r="C702" s="18"/>
      <c r="D702" s="18"/>
      <c r="E702" s="42"/>
      <c r="F702" s="42"/>
    </row>
    <row r="703">
      <c r="B703" s="18"/>
      <c r="C703" s="18"/>
      <c r="D703" s="18"/>
      <c r="E703" s="42"/>
      <c r="F703" s="42"/>
    </row>
    <row r="704">
      <c r="B704" s="18"/>
      <c r="C704" s="18"/>
      <c r="D704" s="18"/>
      <c r="E704" s="42"/>
      <c r="F704" s="42"/>
    </row>
    <row r="705">
      <c r="B705" s="18"/>
      <c r="C705" s="18"/>
      <c r="D705" s="18"/>
      <c r="E705" s="42"/>
      <c r="F705" s="42"/>
    </row>
    <row r="706">
      <c r="B706" s="18"/>
      <c r="C706" s="18"/>
      <c r="D706" s="18"/>
      <c r="E706" s="42"/>
      <c r="F706" s="42"/>
    </row>
    <row r="707">
      <c r="B707" s="18"/>
      <c r="C707" s="18"/>
      <c r="D707" s="18"/>
      <c r="E707" s="42"/>
      <c r="F707" s="42"/>
    </row>
    <row r="708">
      <c r="B708" s="18"/>
      <c r="C708" s="18"/>
      <c r="D708" s="18"/>
      <c r="E708" s="42"/>
      <c r="F708" s="42"/>
    </row>
    <row r="709">
      <c r="B709" s="18"/>
      <c r="C709" s="18"/>
      <c r="D709" s="18"/>
      <c r="E709" s="42"/>
      <c r="F709" s="42"/>
    </row>
    <row r="710">
      <c r="B710" s="18"/>
      <c r="C710" s="18"/>
      <c r="D710" s="18"/>
      <c r="E710" s="42"/>
      <c r="F710" s="42"/>
    </row>
    <row r="711">
      <c r="B711" s="18"/>
      <c r="C711" s="18"/>
      <c r="D711" s="18"/>
      <c r="E711" s="42"/>
      <c r="F711" s="42"/>
    </row>
    <row r="712">
      <c r="B712" s="18"/>
      <c r="C712" s="18"/>
      <c r="D712" s="18"/>
      <c r="E712" s="42"/>
      <c r="F712" s="42"/>
    </row>
    <row r="713">
      <c r="B713" s="18"/>
      <c r="C713" s="18"/>
      <c r="D713" s="18"/>
      <c r="E713" s="42"/>
      <c r="F713" s="42"/>
    </row>
    <row r="714">
      <c r="B714" s="18"/>
      <c r="C714" s="18"/>
      <c r="D714" s="18"/>
      <c r="E714" s="42"/>
      <c r="F714" s="42"/>
    </row>
    <row r="715">
      <c r="B715" s="18"/>
      <c r="C715" s="18"/>
      <c r="D715" s="18"/>
      <c r="E715" s="42"/>
      <c r="F715" s="42"/>
    </row>
    <row r="716">
      <c r="B716" s="18"/>
      <c r="C716" s="18"/>
      <c r="D716" s="18"/>
      <c r="E716" s="42"/>
      <c r="F716" s="42"/>
    </row>
    <row r="717">
      <c r="B717" s="18"/>
      <c r="C717" s="18"/>
      <c r="D717" s="18"/>
      <c r="E717" s="42"/>
      <c r="F717" s="42"/>
    </row>
    <row r="718">
      <c r="B718" s="18"/>
      <c r="C718" s="18"/>
      <c r="D718" s="18"/>
      <c r="E718" s="42"/>
      <c r="F718" s="42"/>
    </row>
    <row r="719">
      <c r="B719" s="18"/>
      <c r="C719" s="18"/>
      <c r="D719" s="18"/>
      <c r="E719" s="42"/>
      <c r="F719" s="42"/>
    </row>
    <row r="720">
      <c r="B720" s="18"/>
      <c r="C720" s="18"/>
      <c r="D720" s="18"/>
      <c r="E720" s="42"/>
      <c r="F720" s="42"/>
    </row>
    <row r="721">
      <c r="B721" s="18"/>
      <c r="C721" s="18"/>
      <c r="D721" s="18"/>
      <c r="E721" s="42"/>
      <c r="F721" s="42"/>
    </row>
    <row r="722">
      <c r="B722" s="18"/>
      <c r="C722" s="18"/>
      <c r="D722" s="18"/>
      <c r="E722" s="42"/>
      <c r="F722" s="42"/>
    </row>
    <row r="723">
      <c r="B723" s="18"/>
      <c r="C723" s="18"/>
      <c r="D723" s="18"/>
      <c r="E723" s="42"/>
      <c r="F723" s="42"/>
    </row>
    <row r="724">
      <c r="B724" s="18"/>
      <c r="C724" s="18"/>
      <c r="D724" s="18"/>
      <c r="E724" s="42"/>
      <c r="F724" s="42"/>
    </row>
    <row r="725">
      <c r="B725" s="18"/>
      <c r="C725" s="18"/>
      <c r="D725" s="18"/>
      <c r="E725" s="42"/>
      <c r="F725" s="42"/>
    </row>
    <row r="726">
      <c r="B726" s="18"/>
      <c r="C726" s="18"/>
      <c r="D726" s="18"/>
      <c r="E726" s="42"/>
      <c r="F726" s="42"/>
    </row>
    <row r="727">
      <c r="B727" s="18"/>
      <c r="C727" s="18"/>
      <c r="D727" s="18"/>
      <c r="E727" s="42"/>
      <c r="F727" s="42"/>
    </row>
    <row r="728">
      <c r="B728" s="18"/>
      <c r="C728" s="18"/>
      <c r="D728" s="18"/>
      <c r="E728" s="42"/>
      <c r="F728" s="42"/>
    </row>
    <row r="729">
      <c r="B729" s="18"/>
      <c r="C729" s="18"/>
      <c r="D729" s="18"/>
      <c r="E729" s="42"/>
      <c r="F729" s="42"/>
    </row>
    <row r="730">
      <c r="B730" s="18"/>
      <c r="C730" s="18"/>
      <c r="D730" s="18"/>
      <c r="E730" s="42"/>
      <c r="F730" s="42"/>
    </row>
    <row r="731">
      <c r="B731" s="18"/>
      <c r="C731" s="18"/>
      <c r="D731" s="18"/>
      <c r="E731" s="42"/>
      <c r="F731" s="42"/>
    </row>
    <row r="732">
      <c r="B732" s="18"/>
      <c r="C732" s="18"/>
      <c r="D732" s="18"/>
      <c r="E732" s="42"/>
      <c r="F732" s="42"/>
    </row>
    <row r="733">
      <c r="B733" s="18"/>
      <c r="C733" s="18"/>
      <c r="D733" s="18"/>
      <c r="E733" s="42"/>
      <c r="F733" s="42"/>
    </row>
    <row r="734">
      <c r="B734" s="18"/>
      <c r="C734" s="18"/>
      <c r="D734" s="18"/>
      <c r="E734" s="42"/>
      <c r="F734" s="42"/>
    </row>
    <row r="735">
      <c r="B735" s="18"/>
      <c r="C735" s="18"/>
      <c r="D735" s="18"/>
      <c r="E735" s="42"/>
      <c r="F735" s="42"/>
    </row>
    <row r="736">
      <c r="B736" s="18"/>
      <c r="C736" s="18"/>
      <c r="D736" s="18"/>
      <c r="E736" s="42"/>
      <c r="F736" s="42"/>
    </row>
    <row r="737">
      <c r="B737" s="18"/>
      <c r="C737" s="18"/>
      <c r="D737" s="18"/>
      <c r="E737" s="42"/>
      <c r="F737" s="42"/>
    </row>
    <row r="738">
      <c r="B738" s="18"/>
      <c r="C738" s="18"/>
      <c r="D738" s="18"/>
      <c r="E738" s="42"/>
      <c r="F738" s="42"/>
    </row>
    <row r="739">
      <c r="B739" s="18"/>
      <c r="C739" s="18"/>
      <c r="D739" s="18"/>
      <c r="E739" s="42"/>
      <c r="F739" s="42"/>
    </row>
    <row r="740">
      <c r="B740" s="18"/>
      <c r="C740" s="18"/>
      <c r="D740" s="18"/>
      <c r="E740" s="42"/>
      <c r="F740" s="42"/>
    </row>
    <row r="741">
      <c r="B741" s="18"/>
      <c r="C741" s="18"/>
      <c r="D741" s="18"/>
      <c r="E741" s="42"/>
      <c r="F741" s="42"/>
    </row>
    <row r="742">
      <c r="B742" s="18"/>
      <c r="C742" s="18"/>
      <c r="D742" s="18"/>
      <c r="E742" s="42"/>
      <c r="F742" s="42"/>
    </row>
    <row r="743">
      <c r="B743" s="18"/>
      <c r="C743" s="18"/>
      <c r="D743" s="18"/>
      <c r="E743" s="42"/>
      <c r="F743" s="42"/>
    </row>
    <row r="744">
      <c r="B744" s="18"/>
      <c r="C744" s="18"/>
      <c r="D744" s="18"/>
      <c r="E744" s="42"/>
      <c r="F744" s="42"/>
    </row>
    <row r="745">
      <c r="B745" s="18"/>
      <c r="C745" s="18"/>
      <c r="D745" s="18"/>
      <c r="E745" s="42"/>
      <c r="F745" s="42"/>
    </row>
    <row r="746">
      <c r="B746" s="18"/>
      <c r="C746" s="18"/>
      <c r="D746" s="18"/>
      <c r="E746" s="42"/>
      <c r="F746" s="42"/>
    </row>
    <row r="747">
      <c r="B747" s="18"/>
      <c r="C747" s="18"/>
      <c r="D747" s="18"/>
      <c r="E747" s="42"/>
      <c r="F747" s="42"/>
    </row>
    <row r="748">
      <c r="B748" s="18"/>
      <c r="C748" s="18"/>
      <c r="D748" s="18"/>
      <c r="E748" s="42"/>
      <c r="F748" s="42"/>
    </row>
    <row r="749">
      <c r="B749" s="18"/>
      <c r="C749" s="18"/>
      <c r="D749" s="18"/>
      <c r="E749" s="42"/>
      <c r="F749" s="42"/>
    </row>
    <row r="750">
      <c r="B750" s="18"/>
      <c r="C750" s="18"/>
      <c r="D750" s="18"/>
      <c r="E750" s="42"/>
      <c r="F750" s="42"/>
    </row>
    <row r="751">
      <c r="B751" s="18"/>
      <c r="C751" s="18"/>
      <c r="D751" s="18"/>
      <c r="E751" s="42"/>
      <c r="F751" s="42"/>
    </row>
    <row r="752">
      <c r="B752" s="18"/>
      <c r="C752" s="18"/>
      <c r="D752" s="18"/>
      <c r="E752" s="42"/>
      <c r="F752" s="42"/>
    </row>
    <row r="753">
      <c r="B753" s="18"/>
      <c r="C753" s="18"/>
      <c r="D753" s="18"/>
      <c r="E753" s="42"/>
      <c r="F753" s="42"/>
    </row>
    <row r="754">
      <c r="B754" s="18"/>
      <c r="C754" s="18"/>
      <c r="D754" s="18"/>
      <c r="E754" s="42"/>
      <c r="F754" s="42"/>
    </row>
    <row r="755">
      <c r="B755" s="18"/>
      <c r="C755" s="18"/>
      <c r="D755" s="18"/>
      <c r="E755" s="42"/>
      <c r="F755" s="42"/>
    </row>
    <row r="756">
      <c r="B756" s="18"/>
      <c r="C756" s="18"/>
      <c r="D756" s="18"/>
      <c r="E756" s="42"/>
      <c r="F756" s="42"/>
    </row>
    <row r="757">
      <c r="B757" s="18"/>
      <c r="C757" s="18"/>
      <c r="D757" s="18"/>
      <c r="E757" s="42"/>
      <c r="F757" s="42"/>
    </row>
    <row r="758">
      <c r="B758" s="18"/>
      <c r="C758" s="18"/>
      <c r="D758" s="18"/>
      <c r="E758" s="42"/>
      <c r="F758" s="42"/>
    </row>
    <row r="759">
      <c r="B759" s="18"/>
      <c r="C759" s="18"/>
      <c r="D759" s="18"/>
      <c r="E759" s="42"/>
      <c r="F759" s="42"/>
    </row>
    <row r="760">
      <c r="B760" s="18"/>
      <c r="C760" s="18"/>
      <c r="D760" s="18"/>
      <c r="E760" s="42"/>
      <c r="F760" s="42"/>
    </row>
    <row r="761">
      <c r="B761" s="18"/>
      <c r="C761" s="18"/>
      <c r="D761" s="18"/>
      <c r="E761" s="42"/>
      <c r="F761" s="42"/>
    </row>
    <row r="762">
      <c r="B762" s="18"/>
      <c r="C762" s="18"/>
      <c r="D762" s="18"/>
      <c r="E762" s="42"/>
      <c r="F762" s="42"/>
    </row>
    <row r="763">
      <c r="B763" s="18"/>
      <c r="C763" s="18"/>
      <c r="D763" s="18"/>
      <c r="E763" s="42"/>
      <c r="F763" s="42"/>
    </row>
    <row r="764">
      <c r="B764" s="18"/>
      <c r="C764" s="18"/>
      <c r="D764" s="18"/>
      <c r="E764" s="42"/>
      <c r="F764" s="42"/>
    </row>
    <row r="765">
      <c r="B765" s="18"/>
      <c r="C765" s="18"/>
      <c r="D765" s="18"/>
      <c r="E765" s="42"/>
      <c r="F765" s="42"/>
    </row>
    <row r="766">
      <c r="B766" s="18"/>
      <c r="C766" s="18"/>
      <c r="D766" s="18"/>
      <c r="E766" s="42"/>
      <c r="F766" s="42"/>
    </row>
    <row r="767">
      <c r="B767" s="18"/>
      <c r="C767" s="18"/>
      <c r="D767" s="18"/>
      <c r="E767" s="42"/>
      <c r="F767" s="42"/>
    </row>
    <row r="768">
      <c r="B768" s="18"/>
      <c r="C768" s="18"/>
      <c r="D768" s="18"/>
      <c r="E768" s="42"/>
      <c r="F768" s="42"/>
    </row>
    <row r="769">
      <c r="B769" s="18"/>
      <c r="C769" s="18"/>
      <c r="D769" s="18"/>
      <c r="E769" s="42"/>
      <c r="F769" s="42"/>
    </row>
    <row r="770">
      <c r="B770" s="18"/>
      <c r="C770" s="18"/>
      <c r="D770" s="18"/>
      <c r="E770" s="42"/>
      <c r="F770" s="42"/>
    </row>
    <row r="771">
      <c r="B771" s="18"/>
      <c r="C771" s="18"/>
      <c r="D771" s="18"/>
      <c r="E771" s="42"/>
      <c r="F771" s="42"/>
    </row>
    <row r="772">
      <c r="B772" s="18"/>
      <c r="C772" s="18"/>
      <c r="D772" s="18"/>
      <c r="E772" s="42"/>
      <c r="F772" s="42"/>
    </row>
    <row r="773">
      <c r="B773" s="18"/>
      <c r="C773" s="18"/>
      <c r="D773" s="18"/>
      <c r="E773" s="42"/>
      <c r="F773" s="42"/>
    </row>
    <row r="774">
      <c r="B774" s="18"/>
      <c r="C774" s="18"/>
      <c r="D774" s="18"/>
      <c r="E774" s="42"/>
      <c r="F774" s="42"/>
    </row>
    <row r="775">
      <c r="B775" s="18"/>
      <c r="C775" s="18"/>
      <c r="D775" s="18"/>
      <c r="E775" s="42"/>
      <c r="F775" s="42"/>
    </row>
    <row r="776">
      <c r="B776" s="18"/>
      <c r="C776" s="18"/>
      <c r="D776" s="18"/>
      <c r="E776" s="42"/>
      <c r="F776" s="42"/>
    </row>
    <row r="777">
      <c r="B777" s="18"/>
      <c r="C777" s="18"/>
      <c r="D777" s="18"/>
      <c r="E777" s="42"/>
      <c r="F777" s="42"/>
    </row>
    <row r="778">
      <c r="B778" s="18"/>
      <c r="C778" s="18"/>
      <c r="D778" s="18"/>
      <c r="E778" s="42"/>
      <c r="F778" s="42"/>
    </row>
    <row r="779">
      <c r="B779" s="18"/>
      <c r="C779" s="18"/>
      <c r="D779" s="18"/>
      <c r="E779" s="42"/>
      <c r="F779" s="42"/>
    </row>
    <row r="780">
      <c r="B780" s="18"/>
      <c r="C780" s="18"/>
      <c r="D780" s="18"/>
      <c r="E780" s="42"/>
      <c r="F780" s="42"/>
    </row>
    <row r="781">
      <c r="B781" s="18"/>
      <c r="C781" s="18"/>
      <c r="D781" s="18"/>
      <c r="E781" s="42"/>
      <c r="F781" s="42"/>
    </row>
    <row r="782">
      <c r="B782" s="18"/>
      <c r="C782" s="18"/>
      <c r="D782" s="18"/>
      <c r="E782" s="42"/>
      <c r="F782" s="42"/>
    </row>
    <row r="783">
      <c r="B783" s="18"/>
      <c r="C783" s="18"/>
      <c r="D783" s="18"/>
      <c r="E783" s="42"/>
      <c r="F783" s="42"/>
    </row>
    <row r="784">
      <c r="B784" s="18"/>
      <c r="C784" s="18"/>
      <c r="D784" s="18"/>
      <c r="E784" s="42"/>
      <c r="F784" s="42"/>
    </row>
    <row r="785">
      <c r="B785" s="18"/>
      <c r="C785" s="18"/>
      <c r="D785" s="18"/>
      <c r="E785" s="42"/>
      <c r="F785" s="42"/>
    </row>
    <row r="786">
      <c r="B786" s="18"/>
      <c r="C786" s="18"/>
      <c r="D786" s="18"/>
      <c r="E786" s="42"/>
      <c r="F786" s="42"/>
    </row>
    <row r="787">
      <c r="B787" s="18"/>
      <c r="C787" s="18"/>
      <c r="D787" s="18"/>
      <c r="E787" s="42"/>
      <c r="F787" s="42"/>
    </row>
    <row r="788">
      <c r="B788" s="18"/>
      <c r="C788" s="18"/>
      <c r="D788" s="18"/>
      <c r="E788" s="42"/>
      <c r="F788" s="42"/>
    </row>
    <row r="789">
      <c r="B789" s="18"/>
      <c r="C789" s="18"/>
      <c r="D789" s="18"/>
      <c r="E789" s="42"/>
      <c r="F789" s="42"/>
    </row>
    <row r="790">
      <c r="B790" s="18"/>
      <c r="C790" s="18"/>
      <c r="D790" s="18"/>
      <c r="E790" s="42"/>
      <c r="F790" s="42"/>
    </row>
    <row r="791">
      <c r="B791" s="18"/>
      <c r="C791" s="18"/>
      <c r="D791" s="18"/>
      <c r="E791" s="42"/>
      <c r="F791" s="42"/>
    </row>
    <row r="792">
      <c r="B792" s="18"/>
      <c r="C792" s="18"/>
      <c r="D792" s="18"/>
      <c r="E792" s="42"/>
      <c r="F792" s="42"/>
    </row>
    <row r="793">
      <c r="B793" s="18"/>
      <c r="C793" s="18"/>
      <c r="D793" s="18"/>
      <c r="E793" s="42"/>
      <c r="F793" s="42"/>
    </row>
    <row r="794">
      <c r="B794" s="18"/>
      <c r="C794" s="18"/>
      <c r="D794" s="18"/>
      <c r="E794" s="42"/>
      <c r="F794" s="42"/>
    </row>
    <row r="795">
      <c r="B795" s="18"/>
      <c r="C795" s="18"/>
      <c r="D795" s="18"/>
      <c r="E795" s="42"/>
      <c r="F795" s="42"/>
    </row>
    <row r="796">
      <c r="B796" s="18"/>
      <c r="C796" s="18"/>
      <c r="D796" s="18"/>
      <c r="E796" s="42"/>
      <c r="F796" s="42"/>
    </row>
    <row r="797">
      <c r="B797" s="18"/>
      <c r="C797" s="18"/>
      <c r="D797" s="18"/>
      <c r="E797" s="42"/>
      <c r="F797" s="42"/>
    </row>
    <row r="798">
      <c r="B798" s="18"/>
      <c r="C798" s="18"/>
      <c r="D798" s="18"/>
      <c r="E798" s="42"/>
      <c r="F798" s="42"/>
    </row>
    <row r="799">
      <c r="B799" s="18"/>
      <c r="C799" s="18"/>
      <c r="D799" s="18"/>
      <c r="E799" s="42"/>
      <c r="F799" s="42"/>
    </row>
    <row r="800">
      <c r="B800" s="18"/>
      <c r="C800" s="18"/>
      <c r="D800" s="18"/>
      <c r="E800" s="42"/>
      <c r="F800" s="42"/>
    </row>
    <row r="801">
      <c r="B801" s="18"/>
      <c r="C801" s="18"/>
      <c r="D801" s="18"/>
      <c r="E801" s="42"/>
      <c r="F801" s="42"/>
    </row>
    <row r="802">
      <c r="B802" s="18"/>
      <c r="C802" s="18"/>
      <c r="D802" s="18"/>
      <c r="E802" s="42"/>
      <c r="F802" s="42"/>
    </row>
    <row r="803">
      <c r="B803" s="18"/>
      <c r="C803" s="18"/>
      <c r="D803" s="18"/>
      <c r="E803" s="42"/>
      <c r="F803" s="42"/>
    </row>
    <row r="804">
      <c r="B804" s="18"/>
      <c r="C804" s="18"/>
      <c r="D804" s="18"/>
      <c r="E804" s="42"/>
      <c r="F804" s="42"/>
    </row>
    <row r="805">
      <c r="B805" s="18"/>
      <c r="C805" s="18"/>
      <c r="D805" s="18"/>
      <c r="E805" s="42"/>
      <c r="F805" s="42"/>
    </row>
    <row r="806">
      <c r="B806" s="18"/>
      <c r="C806" s="18"/>
      <c r="D806" s="18"/>
      <c r="E806" s="42"/>
      <c r="F806" s="42"/>
    </row>
    <row r="807">
      <c r="B807" s="18"/>
      <c r="C807" s="18"/>
      <c r="D807" s="18"/>
      <c r="E807" s="42"/>
      <c r="F807" s="42"/>
    </row>
    <row r="808">
      <c r="B808" s="18"/>
      <c r="C808" s="18"/>
      <c r="D808" s="18"/>
      <c r="E808" s="42"/>
      <c r="F808" s="42"/>
    </row>
    <row r="809">
      <c r="B809" s="18"/>
      <c r="C809" s="18"/>
      <c r="D809" s="18"/>
      <c r="E809" s="42"/>
      <c r="F809" s="42"/>
    </row>
    <row r="810">
      <c r="B810" s="18"/>
      <c r="C810" s="18"/>
      <c r="D810" s="18"/>
      <c r="E810" s="42"/>
      <c r="F810" s="42"/>
    </row>
    <row r="811">
      <c r="B811" s="18"/>
      <c r="C811" s="18"/>
      <c r="D811" s="18"/>
      <c r="E811" s="42"/>
      <c r="F811" s="42"/>
    </row>
    <row r="812">
      <c r="B812" s="18"/>
      <c r="C812" s="18"/>
      <c r="D812" s="18"/>
      <c r="E812" s="42"/>
      <c r="F812" s="42"/>
    </row>
    <row r="813">
      <c r="B813" s="18"/>
      <c r="C813" s="18"/>
      <c r="D813" s="18"/>
      <c r="E813" s="42"/>
      <c r="F813" s="42"/>
    </row>
    <row r="814">
      <c r="B814" s="18"/>
      <c r="C814" s="18"/>
      <c r="D814" s="18"/>
      <c r="E814" s="42"/>
      <c r="F814" s="42"/>
    </row>
    <row r="815">
      <c r="B815" s="18"/>
      <c r="C815" s="18"/>
      <c r="D815" s="18"/>
      <c r="E815" s="42"/>
      <c r="F815" s="42"/>
    </row>
    <row r="816">
      <c r="B816" s="18"/>
      <c r="C816" s="18"/>
      <c r="D816" s="18"/>
      <c r="E816" s="42"/>
      <c r="F816" s="42"/>
    </row>
    <row r="817">
      <c r="B817" s="18"/>
      <c r="C817" s="18"/>
      <c r="D817" s="18"/>
      <c r="E817" s="42"/>
      <c r="F817" s="42"/>
    </row>
    <row r="818">
      <c r="B818" s="18"/>
      <c r="C818" s="18"/>
      <c r="D818" s="18"/>
      <c r="E818" s="42"/>
      <c r="F818" s="42"/>
    </row>
    <row r="819">
      <c r="B819" s="18"/>
      <c r="C819" s="18"/>
      <c r="D819" s="18"/>
      <c r="E819" s="42"/>
      <c r="F819" s="42"/>
    </row>
    <row r="820">
      <c r="B820" s="18"/>
      <c r="C820" s="18"/>
      <c r="D820" s="18"/>
      <c r="E820" s="42"/>
      <c r="F820" s="42"/>
    </row>
    <row r="821">
      <c r="B821" s="18"/>
      <c r="C821" s="18"/>
      <c r="D821" s="18"/>
      <c r="E821" s="42"/>
      <c r="F821" s="42"/>
    </row>
    <row r="822">
      <c r="B822" s="18"/>
      <c r="C822" s="18"/>
      <c r="D822" s="18"/>
      <c r="E822" s="42"/>
      <c r="F822" s="42"/>
    </row>
    <row r="823">
      <c r="B823" s="18"/>
      <c r="C823" s="18"/>
      <c r="D823" s="18"/>
      <c r="E823" s="42"/>
      <c r="F823" s="42"/>
    </row>
    <row r="824">
      <c r="B824" s="18"/>
      <c r="C824" s="18"/>
      <c r="D824" s="18"/>
      <c r="E824" s="42"/>
      <c r="F824" s="42"/>
    </row>
    <row r="825">
      <c r="B825" s="18"/>
      <c r="C825" s="18"/>
      <c r="D825" s="18"/>
      <c r="E825" s="42"/>
      <c r="F825" s="42"/>
    </row>
    <row r="826">
      <c r="B826" s="18"/>
      <c r="C826" s="18"/>
      <c r="D826" s="18"/>
      <c r="E826" s="42"/>
      <c r="F826" s="42"/>
    </row>
    <row r="827">
      <c r="B827" s="18"/>
      <c r="C827" s="18"/>
      <c r="D827" s="18"/>
      <c r="E827" s="42"/>
      <c r="F827" s="42"/>
    </row>
    <row r="828">
      <c r="B828" s="18"/>
      <c r="C828" s="18"/>
      <c r="D828" s="18"/>
      <c r="E828" s="42"/>
      <c r="F828" s="42"/>
    </row>
    <row r="829">
      <c r="B829" s="18"/>
      <c r="C829" s="18"/>
      <c r="D829" s="18"/>
      <c r="E829" s="42"/>
      <c r="F829" s="42"/>
    </row>
    <row r="830">
      <c r="B830" s="18"/>
      <c r="C830" s="18"/>
      <c r="D830" s="18"/>
      <c r="E830" s="42"/>
      <c r="F830" s="42"/>
    </row>
    <row r="831">
      <c r="B831" s="18"/>
      <c r="C831" s="18"/>
      <c r="D831" s="18"/>
      <c r="E831" s="42"/>
      <c r="F831" s="42"/>
    </row>
    <row r="832">
      <c r="B832" s="18"/>
      <c r="C832" s="18"/>
      <c r="D832" s="18"/>
      <c r="E832" s="42"/>
      <c r="F832" s="42"/>
    </row>
    <row r="833">
      <c r="B833" s="18"/>
      <c r="C833" s="18"/>
      <c r="D833" s="18"/>
      <c r="E833" s="42"/>
      <c r="F833" s="42"/>
    </row>
    <row r="834">
      <c r="B834" s="18"/>
      <c r="C834" s="18"/>
      <c r="D834" s="18"/>
      <c r="E834" s="42"/>
      <c r="F834" s="42"/>
    </row>
    <row r="835">
      <c r="B835" s="18"/>
      <c r="C835" s="18"/>
      <c r="D835" s="18"/>
      <c r="E835" s="42"/>
      <c r="F835" s="42"/>
    </row>
    <row r="836">
      <c r="B836" s="18"/>
      <c r="C836" s="18"/>
      <c r="D836" s="18"/>
      <c r="E836" s="42"/>
      <c r="F836" s="42"/>
    </row>
    <row r="837">
      <c r="B837" s="18"/>
      <c r="C837" s="18"/>
      <c r="D837" s="18"/>
      <c r="E837" s="42"/>
      <c r="F837" s="42"/>
    </row>
    <row r="838">
      <c r="B838" s="18"/>
      <c r="C838" s="18"/>
      <c r="D838" s="18"/>
      <c r="E838" s="42"/>
      <c r="F838" s="42"/>
    </row>
    <row r="839">
      <c r="B839" s="18"/>
      <c r="C839" s="18"/>
      <c r="D839" s="18"/>
      <c r="E839" s="42"/>
      <c r="F839" s="42"/>
    </row>
    <row r="840">
      <c r="B840" s="18"/>
      <c r="C840" s="18"/>
      <c r="D840" s="18"/>
      <c r="E840" s="42"/>
      <c r="F840" s="42"/>
    </row>
    <row r="841">
      <c r="B841" s="18"/>
      <c r="C841" s="18"/>
      <c r="D841" s="18"/>
      <c r="E841" s="42"/>
      <c r="F841" s="42"/>
    </row>
    <row r="842">
      <c r="B842" s="18"/>
      <c r="C842" s="18"/>
      <c r="D842" s="18"/>
      <c r="E842" s="42"/>
      <c r="F842" s="42"/>
    </row>
    <row r="843">
      <c r="B843" s="18"/>
      <c r="C843" s="18"/>
      <c r="D843" s="18"/>
      <c r="E843" s="42"/>
      <c r="F843" s="42"/>
    </row>
    <row r="844">
      <c r="B844" s="18"/>
      <c r="C844" s="18"/>
      <c r="D844" s="18"/>
      <c r="E844" s="42"/>
      <c r="F844" s="42"/>
    </row>
    <row r="845">
      <c r="B845" s="18"/>
      <c r="C845" s="18"/>
      <c r="D845" s="18"/>
      <c r="E845" s="42"/>
      <c r="F845" s="42"/>
    </row>
    <row r="846">
      <c r="B846" s="18"/>
      <c r="C846" s="18"/>
      <c r="D846" s="18"/>
      <c r="E846" s="42"/>
      <c r="F846" s="42"/>
    </row>
    <row r="847">
      <c r="B847" s="18"/>
      <c r="C847" s="18"/>
      <c r="D847" s="18"/>
      <c r="E847" s="42"/>
      <c r="F847" s="42"/>
    </row>
    <row r="848">
      <c r="B848" s="18"/>
      <c r="C848" s="18"/>
      <c r="D848" s="18"/>
      <c r="E848" s="42"/>
      <c r="F848" s="42"/>
    </row>
    <row r="849">
      <c r="B849" s="18"/>
      <c r="C849" s="18"/>
      <c r="D849" s="18"/>
      <c r="E849" s="42"/>
      <c r="F849" s="42"/>
    </row>
    <row r="850">
      <c r="B850" s="18"/>
      <c r="C850" s="18"/>
      <c r="D850" s="18"/>
      <c r="E850" s="42"/>
      <c r="F850" s="42"/>
    </row>
    <row r="851">
      <c r="B851" s="18"/>
      <c r="C851" s="18"/>
      <c r="D851" s="18"/>
      <c r="E851" s="42"/>
      <c r="F851" s="42"/>
    </row>
    <row r="852">
      <c r="B852" s="18"/>
      <c r="C852" s="18"/>
      <c r="D852" s="18"/>
      <c r="E852" s="42"/>
      <c r="F852" s="42"/>
    </row>
    <row r="853">
      <c r="B853" s="18"/>
      <c r="C853" s="18"/>
      <c r="D853" s="18"/>
      <c r="E853" s="42"/>
      <c r="F853" s="42"/>
    </row>
    <row r="854">
      <c r="B854" s="18"/>
      <c r="C854" s="18"/>
      <c r="D854" s="18"/>
      <c r="E854" s="42"/>
      <c r="F854" s="42"/>
    </row>
    <row r="855">
      <c r="B855" s="18"/>
      <c r="C855" s="18"/>
      <c r="D855" s="18"/>
      <c r="E855" s="42"/>
      <c r="F855" s="42"/>
    </row>
    <row r="856">
      <c r="B856" s="18"/>
      <c r="C856" s="18"/>
      <c r="D856" s="18"/>
      <c r="E856" s="42"/>
      <c r="F856" s="42"/>
    </row>
    <row r="857">
      <c r="B857" s="18"/>
      <c r="C857" s="18"/>
      <c r="D857" s="18"/>
      <c r="E857" s="42"/>
      <c r="F857" s="42"/>
    </row>
    <row r="858">
      <c r="B858" s="18"/>
      <c r="C858" s="18"/>
      <c r="D858" s="18"/>
      <c r="E858" s="42"/>
      <c r="F858" s="42"/>
    </row>
    <row r="859">
      <c r="B859" s="18"/>
      <c r="C859" s="18"/>
      <c r="D859" s="18"/>
      <c r="E859" s="42"/>
      <c r="F859" s="42"/>
    </row>
    <row r="860">
      <c r="B860" s="18"/>
      <c r="C860" s="18"/>
      <c r="D860" s="18"/>
      <c r="E860" s="42"/>
      <c r="F860" s="42"/>
    </row>
    <row r="861">
      <c r="B861" s="18"/>
      <c r="C861" s="18"/>
      <c r="D861" s="18"/>
      <c r="E861" s="42"/>
      <c r="F861" s="42"/>
    </row>
    <row r="862">
      <c r="B862" s="18"/>
      <c r="C862" s="18"/>
      <c r="D862" s="18"/>
      <c r="E862" s="42"/>
      <c r="F862" s="42"/>
    </row>
    <row r="863">
      <c r="B863" s="18"/>
      <c r="C863" s="18"/>
      <c r="D863" s="18"/>
      <c r="E863" s="42"/>
      <c r="F863" s="42"/>
    </row>
    <row r="864">
      <c r="B864" s="18"/>
      <c r="C864" s="18"/>
      <c r="D864" s="18"/>
      <c r="E864" s="42"/>
      <c r="F864" s="42"/>
    </row>
    <row r="865">
      <c r="B865" s="18"/>
      <c r="C865" s="18"/>
      <c r="D865" s="18"/>
      <c r="E865" s="42"/>
      <c r="F865" s="42"/>
    </row>
    <row r="866">
      <c r="B866" s="18"/>
      <c r="C866" s="18"/>
      <c r="D866" s="18"/>
      <c r="E866" s="42"/>
      <c r="F866" s="42"/>
    </row>
    <row r="867">
      <c r="B867" s="18"/>
      <c r="C867" s="18"/>
      <c r="D867" s="18"/>
      <c r="E867" s="42"/>
      <c r="F867" s="42"/>
    </row>
    <row r="868">
      <c r="B868" s="18"/>
      <c r="C868" s="18"/>
      <c r="D868" s="18"/>
      <c r="E868" s="42"/>
      <c r="F868" s="42"/>
    </row>
    <row r="869">
      <c r="B869" s="18"/>
      <c r="C869" s="18"/>
      <c r="D869" s="18"/>
      <c r="E869" s="42"/>
      <c r="F869" s="42"/>
    </row>
    <row r="870">
      <c r="B870" s="18"/>
      <c r="C870" s="18"/>
      <c r="D870" s="18"/>
      <c r="E870" s="42"/>
      <c r="F870" s="42"/>
    </row>
    <row r="871">
      <c r="B871" s="18"/>
      <c r="C871" s="18"/>
      <c r="D871" s="18"/>
      <c r="E871" s="42"/>
      <c r="F871" s="42"/>
    </row>
    <row r="872">
      <c r="B872" s="18"/>
      <c r="C872" s="18"/>
      <c r="D872" s="18"/>
      <c r="E872" s="42"/>
      <c r="F872" s="42"/>
    </row>
    <row r="873">
      <c r="B873" s="18"/>
      <c r="C873" s="18"/>
      <c r="D873" s="18"/>
      <c r="E873" s="42"/>
      <c r="F873" s="42"/>
    </row>
    <row r="874">
      <c r="B874" s="18"/>
      <c r="C874" s="18"/>
      <c r="D874" s="18"/>
      <c r="E874" s="42"/>
      <c r="F874" s="42"/>
    </row>
    <row r="875">
      <c r="B875" s="18"/>
      <c r="C875" s="18"/>
      <c r="D875" s="18"/>
      <c r="E875" s="42"/>
      <c r="F875" s="42"/>
    </row>
    <row r="876">
      <c r="B876" s="18"/>
      <c r="C876" s="18"/>
      <c r="D876" s="18"/>
      <c r="E876" s="42"/>
      <c r="F876" s="42"/>
    </row>
    <row r="877">
      <c r="B877" s="18"/>
      <c r="C877" s="18"/>
      <c r="D877" s="18"/>
      <c r="E877" s="42"/>
      <c r="F877" s="42"/>
    </row>
    <row r="878">
      <c r="B878" s="18"/>
      <c r="C878" s="18"/>
      <c r="D878" s="18"/>
      <c r="E878" s="42"/>
      <c r="F878" s="42"/>
    </row>
    <row r="879">
      <c r="B879" s="18"/>
      <c r="C879" s="18"/>
      <c r="D879" s="18"/>
      <c r="E879" s="42"/>
      <c r="F879" s="42"/>
    </row>
    <row r="880">
      <c r="B880" s="18"/>
      <c r="C880" s="18"/>
      <c r="D880" s="18"/>
      <c r="E880" s="42"/>
      <c r="F880" s="42"/>
    </row>
    <row r="881">
      <c r="B881" s="18"/>
      <c r="C881" s="18"/>
      <c r="D881" s="18"/>
      <c r="E881" s="42"/>
      <c r="F881" s="42"/>
    </row>
    <row r="882">
      <c r="B882" s="18"/>
      <c r="C882" s="18"/>
      <c r="D882" s="18"/>
      <c r="E882" s="42"/>
      <c r="F882" s="42"/>
    </row>
    <row r="883">
      <c r="B883" s="18"/>
      <c r="C883" s="18"/>
      <c r="D883" s="18"/>
      <c r="E883" s="42"/>
      <c r="F883" s="42"/>
    </row>
    <row r="884">
      <c r="B884" s="18"/>
      <c r="C884" s="18"/>
      <c r="D884" s="18"/>
      <c r="E884" s="42"/>
      <c r="F884" s="42"/>
    </row>
    <row r="885">
      <c r="B885" s="18"/>
      <c r="C885" s="18"/>
      <c r="D885" s="18"/>
      <c r="E885" s="42"/>
      <c r="F885" s="42"/>
    </row>
    <row r="886">
      <c r="B886" s="18"/>
      <c r="C886" s="18"/>
      <c r="D886" s="18"/>
      <c r="E886" s="42"/>
      <c r="F886" s="42"/>
    </row>
    <row r="887">
      <c r="B887" s="18"/>
      <c r="C887" s="18"/>
      <c r="D887" s="18"/>
      <c r="E887" s="42"/>
      <c r="F887" s="42"/>
    </row>
    <row r="888">
      <c r="B888" s="18"/>
      <c r="C888" s="18"/>
      <c r="D888" s="18"/>
      <c r="E888" s="42"/>
      <c r="F888" s="42"/>
    </row>
    <row r="889">
      <c r="B889" s="18"/>
      <c r="C889" s="18"/>
      <c r="D889" s="18"/>
      <c r="E889" s="42"/>
      <c r="F889" s="42"/>
    </row>
    <row r="890">
      <c r="B890" s="18"/>
      <c r="C890" s="18"/>
      <c r="D890" s="18"/>
      <c r="E890" s="42"/>
      <c r="F890" s="42"/>
    </row>
    <row r="891">
      <c r="B891" s="18"/>
      <c r="C891" s="18"/>
      <c r="D891" s="18"/>
      <c r="E891" s="42"/>
      <c r="F891" s="42"/>
    </row>
    <row r="892">
      <c r="B892" s="18"/>
      <c r="C892" s="18"/>
      <c r="D892" s="18"/>
      <c r="E892" s="42"/>
      <c r="F892" s="42"/>
    </row>
    <row r="893">
      <c r="B893" s="18"/>
      <c r="C893" s="18"/>
      <c r="D893" s="18"/>
      <c r="E893" s="42"/>
      <c r="F893" s="42"/>
    </row>
    <row r="894">
      <c r="B894" s="18"/>
      <c r="C894" s="18"/>
      <c r="D894" s="18"/>
      <c r="E894" s="42"/>
      <c r="F894" s="42"/>
    </row>
    <row r="895">
      <c r="B895" s="18"/>
      <c r="C895" s="18"/>
      <c r="D895" s="18"/>
      <c r="E895" s="42"/>
      <c r="F895" s="42"/>
    </row>
    <row r="896">
      <c r="B896" s="18"/>
      <c r="C896" s="18"/>
      <c r="D896" s="18"/>
      <c r="E896" s="42"/>
      <c r="F896" s="42"/>
    </row>
    <row r="897">
      <c r="B897" s="18"/>
      <c r="C897" s="18"/>
      <c r="D897" s="18"/>
      <c r="E897" s="42"/>
      <c r="F897" s="42"/>
    </row>
    <row r="898">
      <c r="B898" s="18"/>
      <c r="C898" s="18"/>
      <c r="D898" s="18"/>
      <c r="E898" s="42"/>
      <c r="F898" s="42"/>
    </row>
    <row r="899">
      <c r="B899" s="18"/>
      <c r="C899" s="18"/>
      <c r="D899" s="18"/>
      <c r="E899" s="42"/>
      <c r="F899" s="42"/>
    </row>
    <row r="900">
      <c r="B900" s="18"/>
      <c r="C900" s="18"/>
      <c r="D900" s="18"/>
      <c r="E900" s="42"/>
      <c r="F900" s="42"/>
    </row>
    <row r="901">
      <c r="B901" s="18"/>
      <c r="C901" s="18"/>
      <c r="D901" s="18"/>
      <c r="E901" s="42"/>
      <c r="F901" s="42"/>
    </row>
    <row r="902">
      <c r="B902" s="18"/>
      <c r="C902" s="18"/>
      <c r="D902" s="18"/>
      <c r="E902" s="42"/>
      <c r="F902" s="42"/>
    </row>
    <row r="903">
      <c r="B903" s="18"/>
      <c r="C903" s="18"/>
      <c r="D903" s="18"/>
      <c r="E903" s="42"/>
      <c r="F903" s="42"/>
    </row>
    <row r="904">
      <c r="B904" s="18"/>
      <c r="C904" s="18"/>
      <c r="D904" s="18"/>
      <c r="E904" s="42"/>
      <c r="F904" s="42"/>
    </row>
    <row r="905">
      <c r="B905" s="18"/>
      <c r="C905" s="18"/>
      <c r="D905" s="18"/>
      <c r="E905" s="42"/>
      <c r="F905" s="42"/>
    </row>
    <row r="906">
      <c r="B906" s="18"/>
      <c r="C906" s="18"/>
      <c r="D906" s="18"/>
      <c r="E906" s="42"/>
      <c r="F906" s="42"/>
    </row>
    <row r="907">
      <c r="B907" s="18"/>
      <c r="C907" s="18"/>
      <c r="D907" s="18"/>
      <c r="E907" s="42"/>
      <c r="F907" s="42"/>
    </row>
    <row r="908">
      <c r="B908" s="18"/>
      <c r="C908" s="18"/>
      <c r="D908" s="18"/>
      <c r="E908" s="42"/>
      <c r="F908" s="42"/>
    </row>
    <row r="909">
      <c r="B909" s="18"/>
      <c r="C909" s="18"/>
      <c r="D909" s="18"/>
      <c r="E909" s="42"/>
      <c r="F909" s="42"/>
    </row>
    <row r="910">
      <c r="B910" s="18"/>
      <c r="C910" s="18"/>
      <c r="D910" s="18"/>
      <c r="E910" s="42"/>
      <c r="F910" s="42"/>
    </row>
    <row r="911">
      <c r="B911" s="18"/>
      <c r="C911" s="18"/>
      <c r="D911" s="18"/>
      <c r="E911" s="42"/>
      <c r="F911" s="42"/>
    </row>
    <row r="912">
      <c r="B912" s="18"/>
      <c r="C912" s="18"/>
      <c r="D912" s="18"/>
      <c r="E912" s="42"/>
      <c r="F912" s="42"/>
    </row>
    <row r="913">
      <c r="B913" s="18"/>
      <c r="C913" s="18"/>
      <c r="D913" s="18"/>
      <c r="E913" s="42"/>
      <c r="F913" s="42"/>
    </row>
    <row r="914">
      <c r="B914" s="18"/>
      <c r="C914" s="18"/>
      <c r="D914" s="18"/>
      <c r="E914" s="42"/>
      <c r="F914" s="42"/>
    </row>
    <row r="915">
      <c r="B915" s="18"/>
      <c r="C915" s="18"/>
      <c r="D915" s="18"/>
      <c r="E915" s="42"/>
      <c r="F915" s="42"/>
    </row>
    <row r="916">
      <c r="B916" s="18"/>
      <c r="C916" s="18"/>
      <c r="D916" s="18"/>
      <c r="E916" s="42"/>
      <c r="F916" s="42"/>
    </row>
    <row r="917">
      <c r="B917" s="18"/>
      <c r="C917" s="18"/>
      <c r="D917" s="18"/>
      <c r="E917" s="42"/>
      <c r="F917" s="42"/>
    </row>
    <row r="918">
      <c r="B918" s="18"/>
      <c r="C918" s="18"/>
      <c r="D918" s="18"/>
      <c r="E918" s="42"/>
      <c r="F918" s="42"/>
    </row>
    <row r="919">
      <c r="B919" s="18"/>
      <c r="C919" s="18"/>
      <c r="D919" s="18"/>
      <c r="E919" s="42"/>
      <c r="F919" s="42"/>
    </row>
    <row r="920">
      <c r="B920" s="18"/>
      <c r="C920" s="18"/>
      <c r="D920" s="18"/>
      <c r="E920" s="42"/>
      <c r="F920" s="42"/>
    </row>
    <row r="921">
      <c r="B921" s="18"/>
      <c r="C921" s="18"/>
      <c r="D921" s="18"/>
      <c r="E921" s="42"/>
      <c r="F921" s="42"/>
    </row>
    <row r="922">
      <c r="B922" s="18"/>
      <c r="C922" s="18"/>
      <c r="D922" s="18"/>
      <c r="E922" s="42"/>
      <c r="F922" s="42"/>
    </row>
    <row r="923">
      <c r="B923" s="18"/>
      <c r="C923" s="18"/>
      <c r="D923" s="18"/>
      <c r="E923" s="42"/>
      <c r="F923" s="42"/>
    </row>
    <row r="924">
      <c r="B924" s="18"/>
      <c r="C924" s="18"/>
      <c r="D924" s="18"/>
      <c r="E924" s="42"/>
      <c r="F924" s="42"/>
    </row>
    <row r="925">
      <c r="B925" s="18"/>
      <c r="C925" s="18"/>
      <c r="D925" s="18"/>
      <c r="E925" s="42"/>
      <c r="F925" s="42"/>
    </row>
    <row r="926">
      <c r="B926" s="18"/>
      <c r="C926" s="18"/>
      <c r="D926" s="18"/>
      <c r="E926" s="42"/>
      <c r="F926" s="42"/>
    </row>
    <row r="927">
      <c r="B927" s="18"/>
      <c r="C927" s="18"/>
      <c r="D927" s="18"/>
      <c r="E927" s="42"/>
      <c r="F927" s="42"/>
    </row>
    <row r="928">
      <c r="B928" s="18"/>
      <c r="C928" s="18"/>
      <c r="D928" s="18"/>
      <c r="E928" s="42"/>
      <c r="F928" s="42"/>
    </row>
    <row r="929">
      <c r="B929" s="18"/>
      <c r="C929" s="18"/>
      <c r="D929" s="18"/>
      <c r="E929" s="42"/>
      <c r="F929" s="42"/>
    </row>
    <row r="930">
      <c r="B930" s="18"/>
      <c r="C930" s="18"/>
      <c r="D930" s="18"/>
      <c r="E930" s="42"/>
      <c r="F930" s="42"/>
    </row>
    <row r="931">
      <c r="B931" s="18"/>
      <c r="C931" s="18"/>
      <c r="D931" s="18"/>
      <c r="E931" s="42"/>
      <c r="F931" s="42"/>
    </row>
    <row r="932">
      <c r="B932" s="18"/>
      <c r="C932" s="18"/>
      <c r="D932" s="18"/>
      <c r="E932" s="42"/>
      <c r="F932" s="42"/>
    </row>
    <row r="933">
      <c r="B933" s="18"/>
      <c r="C933" s="18"/>
      <c r="D933" s="18"/>
      <c r="E933" s="42"/>
      <c r="F933" s="42"/>
    </row>
    <row r="934">
      <c r="B934" s="18"/>
      <c r="C934" s="18"/>
      <c r="D934" s="18"/>
      <c r="E934" s="42"/>
      <c r="F934" s="42"/>
    </row>
    <row r="935">
      <c r="B935" s="18"/>
      <c r="C935" s="18"/>
      <c r="D935" s="18"/>
      <c r="E935" s="42"/>
      <c r="F935" s="42"/>
    </row>
    <row r="936">
      <c r="B936" s="18"/>
      <c r="C936" s="18"/>
      <c r="D936" s="18"/>
      <c r="E936" s="42"/>
      <c r="F936" s="42"/>
    </row>
    <row r="937">
      <c r="B937" s="18"/>
      <c r="C937" s="18"/>
      <c r="D937" s="18"/>
      <c r="E937" s="42"/>
      <c r="F937" s="42"/>
    </row>
    <row r="938">
      <c r="B938" s="18"/>
      <c r="C938" s="18"/>
      <c r="D938" s="18"/>
      <c r="E938" s="42"/>
      <c r="F938" s="42"/>
    </row>
    <row r="939">
      <c r="B939" s="18"/>
      <c r="C939" s="18"/>
      <c r="D939" s="18"/>
      <c r="E939" s="42"/>
      <c r="F939" s="42"/>
    </row>
    <row r="940">
      <c r="B940" s="18"/>
      <c r="C940" s="18"/>
      <c r="D940" s="18"/>
      <c r="E940" s="42"/>
      <c r="F940" s="42"/>
    </row>
    <row r="941">
      <c r="B941" s="18"/>
      <c r="C941" s="18"/>
      <c r="D941" s="18"/>
      <c r="E941" s="42"/>
      <c r="F941" s="42"/>
    </row>
    <row r="942">
      <c r="B942" s="18"/>
      <c r="C942" s="18"/>
      <c r="D942" s="18"/>
      <c r="E942" s="42"/>
      <c r="F942" s="42"/>
    </row>
    <row r="943">
      <c r="B943" s="18"/>
      <c r="C943" s="18"/>
      <c r="D943" s="18"/>
      <c r="E943" s="42"/>
      <c r="F943" s="42"/>
    </row>
    <row r="944">
      <c r="B944" s="18"/>
      <c r="C944" s="18"/>
      <c r="D944" s="18"/>
      <c r="E944" s="42"/>
      <c r="F944" s="42"/>
    </row>
    <row r="945">
      <c r="B945" s="18"/>
      <c r="C945" s="18"/>
      <c r="D945" s="18"/>
      <c r="E945" s="42"/>
      <c r="F945" s="42"/>
    </row>
    <row r="946">
      <c r="B946" s="18"/>
      <c r="C946" s="18"/>
      <c r="D946" s="18"/>
      <c r="E946" s="42"/>
      <c r="F946" s="42"/>
    </row>
    <row r="947">
      <c r="B947" s="18"/>
      <c r="C947" s="18"/>
      <c r="D947" s="18"/>
      <c r="E947" s="42"/>
      <c r="F947" s="42"/>
    </row>
    <row r="948">
      <c r="B948" s="18"/>
      <c r="C948" s="18"/>
      <c r="D948" s="18"/>
      <c r="E948" s="42"/>
      <c r="F948" s="42"/>
    </row>
    <row r="949">
      <c r="B949" s="18"/>
      <c r="C949" s="18"/>
      <c r="D949" s="18"/>
      <c r="E949" s="42"/>
      <c r="F949" s="42"/>
    </row>
    <row r="950">
      <c r="B950" s="18"/>
      <c r="C950" s="18"/>
      <c r="D950" s="18"/>
      <c r="E950" s="42"/>
      <c r="F950" s="42"/>
    </row>
    <row r="951">
      <c r="B951" s="18"/>
      <c r="C951" s="18"/>
      <c r="D951" s="18"/>
      <c r="E951" s="42"/>
      <c r="F951" s="42"/>
    </row>
    <row r="952">
      <c r="B952" s="18"/>
      <c r="C952" s="18"/>
      <c r="D952" s="18"/>
      <c r="E952" s="42"/>
      <c r="F952" s="42"/>
    </row>
    <row r="953">
      <c r="B953" s="18"/>
      <c r="C953" s="18"/>
      <c r="D953" s="18"/>
      <c r="E953" s="42"/>
      <c r="F953" s="42"/>
    </row>
    <row r="954">
      <c r="B954" s="18"/>
      <c r="C954" s="18"/>
      <c r="D954" s="18"/>
      <c r="E954" s="42"/>
      <c r="F954" s="42"/>
    </row>
    <row r="955">
      <c r="B955" s="18"/>
      <c r="C955" s="18"/>
      <c r="D955" s="18"/>
      <c r="E955" s="42"/>
      <c r="F955" s="42"/>
    </row>
    <row r="956">
      <c r="B956" s="18"/>
      <c r="C956" s="18"/>
      <c r="D956" s="18"/>
      <c r="E956" s="42"/>
      <c r="F956" s="42"/>
    </row>
    <row r="957">
      <c r="B957" s="18"/>
      <c r="C957" s="18"/>
      <c r="D957" s="18"/>
      <c r="E957" s="42"/>
      <c r="F957" s="42"/>
    </row>
    <row r="958">
      <c r="B958" s="18"/>
      <c r="C958" s="18"/>
      <c r="D958" s="18"/>
      <c r="E958" s="42"/>
      <c r="F958" s="42"/>
    </row>
    <row r="959">
      <c r="B959" s="18"/>
      <c r="C959" s="18"/>
      <c r="D959" s="18"/>
      <c r="E959" s="42"/>
      <c r="F959" s="42"/>
    </row>
    <row r="960">
      <c r="B960" s="18"/>
      <c r="C960" s="18"/>
      <c r="D960" s="18"/>
      <c r="E960" s="42"/>
      <c r="F960" s="42"/>
    </row>
    <row r="961">
      <c r="B961" s="18"/>
      <c r="C961" s="18"/>
      <c r="D961" s="18"/>
      <c r="E961" s="42"/>
      <c r="F961" s="42"/>
    </row>
    <row r="962">
      <c r="B962" s="18"/>
      <c r="C962" s="18"/>
      <c r="D962" s="18"/>
      <c r="E962" s="42"/>
      <c r="F962" s="42"/>
    </row>
    <row r="963">
      <c r="B963" s="18"/>
      <c r="C963" s="18"/>
      <c r="D963" s="18"/>
      <c r="E963" s="42"/>
      <c r="F963" s="42"/>
    </row>
    <row r="964">
      <c r="B964" s="18"/>
      <c r="C964" s="18"/>
      <c r="D964" s="18"/>
      <c r="E964" s="42"/>
      <c r="F964" s="42"/>
    </row>
    <row r="965">
      <c r="B965" s="18"/>
      <c r="C965" s="18"/>
      <c r="D965" s="18"/>
      <c r="E965" s="42"/>
      <c r="F965" s="42"/>
    </row>
    <row r="966">
      <c r="B966" s="18"/>
      <c r="C966" s="18"/>
      <c r="D966" s="18"/>
      <c r="E966" s="42"/>
      <c r="F966" s="42"/>
    </row>
    <row r="967">
      <c r="B967" s="18"/>
      <c r="C967" s="18"/>
      <c r="D967" s="18"/>
      <c r="E967" s="42"/>
      <c r="F967" s="42"/>
    </row>
    <row r="968">
      <c r="B968" s="18"/>
      <c r="C968" s="18"/>
      <c r="D968" s="18"/>
      <c r="E968" s="42"/>
      <c r="F968" s="42"/>
    </row>
    <row r="969">
      <c r="B969" s="18"/>
      <c r="C969" s="18"/>
      <c r="D969" s="18"/>
      <c r="E969" s="42"/>
      <c r="F969" s="42"/>
    </row>
    <row r="970">
      <c r="B970" s="18"/>
      <c r="C970" s="18"/>
      <c r="D970" s="18"/>
      <c r="E970" s="42"/>
      <c r="F970" s="42"/>
    </row>
    <row r="971">
      <c r="B971" s="18"/>
      <c r="C971" s="18"/>
      <c r="D971" s="18"/>
      <c r="E971" s="42"/>
      <c r="F971" s="42"/>
    </row>
    <row r="972">
      <c r="B972" s="18"/>
      <c r="C972" s="18"/>
      <c r="D972" s="18"/>
      <c r="E972" s="42"/>
      <c r="F972" s="42"/>
    </row>
    <row r="973">
      <c r="B973" s="18"/>
      <c r="C973" s="18"/>
      <c r="D973" s="18"/>
      <c r="E973" s="42"/>
      <c r="F973" s="42"/>
    </row>
    <row r="974">
      <c r="B974" s="18"/>
      <c r="C974" s="18"/>
      <c r="D974" s="18"/>
      <c r="E974" s="42"/>
      <c r="F974" s="42"/>
    </row>
    <row r="975">
      <c r="B975" s="18"/>
      <c r="C975" s="18"/>
      <c r="D975" s="18"/>
      <c r="E975" s="42"/>
      <c r="F975" s="42"/>
    </row>
    <row r="976">
      <c r="B976" s="18"/>
      <c r="C976" s="18"/>
      <c r="D976" s="18"/>
      <c r="E976" s="42"/>
      <c r="F976" s="42"/>
    </row>
    <row r="977">
      <c r="B977" s="18"/>
      <c r="C977" s="18"/>
      <c r="D977" s="18"/>
      <c r="E977" s="42"/>
      <c r="F977" s="42"/>
    </row>
    <row r="978">
      <c r="B978" s="18"/>
      <c r="C978" s="18"/>
      <c r="D978" s="18"/>
      <c r="E978" s="42"/>
      <c r="F978" s="42"/>
    </row>
    <row r="979">
      <c r="B979" s="18"/>
      <c r="C979" s="18"/>
      <c r="D979" s="18"/>
      <c r="E979" s="42"/>
      <c r="F979" s="42"/>
    </row>
    <row r="980">
      <c r="B980" s="18"/>
      <c r="C980" s="18"/>
      <c r="D980" s="18"/>
      <c r="E980" s="42"/>
      <c r="F980" s="42"/>
    </row>
    <row r="981">
      <c r="B981" s="18"/>
      <c r="C981" s="18"/>
      <c r="D981" s="18"/>
      <c r="E981" s="42"/>
      <c r="F981" s="42"/>
    </row>
    <row r="982">
      <c r="B982" s="18"/>
      <c r="C982" s="18"/>
      <c r="D982" s="18"/>
      <c r="E982" s="42"/>
      <c r="F982" s="42"/>
    </row>
    <row r="983">
      <c r="B983" s="18"/>
      <c r="C983" s="18"/>
      <c r="D983" s="18"/>
      <c r="E983" s="42"/>
      <c r="F983" s="42"/>
    </row>
    <row r="984">
      <c r="B984" s="18"/>
      <c r="C984" s="18"/>
      <c r="D984" s="18"/>
      <c r="E984" s="42"/>
      <c r="F984" s="42"/>
    </row>
    <row r="985">
      <c r="B985" s="18"/>
      <c r="C985" s="18"/>
      <c r="D985" s="18"/>
      <c r="E985" s="42"/>
      <c r="F985" s="42"/>
    </row>
    <row r="986">
      <c r="B986" s="18"/>
      <c r="C986" s="18"/>
      <c r="D986" s="18"/>
      <c r="E986" s="42"/>
      <c r="F986" s="42"/>
    </row>
    <row r="987">
      <c r="B987" s="18"/>
      <c r="C987" s="18"/>
      <c r="D987" s="18"/>
      <c r="E987" s="42"/>
      <c r="F987" s="42"/>
    </row>
    <row r="988">
      <c r="B988" s="18"/>
      <c r="C988" s="18"/>
      <c r="D988" s="18"/>
      <c r="E988" s="42"/>
      <c r="F988" s="42"/>
    </row>
    <row r="989">
      <c r="B989" s="18"/>
      <c r="C989" s="18"/>
      <c r="D989" s="18"/>
      <c r="E989" s="42"/>
      <c r="F989" s="42"/>
    </row>
    <row r="990">
      <c r="B990" s="18"/>
      <c r="C990" s="18"/>
      <c r="D990" s="18"/>
      <c r="E990" s="42"/>
      <c r="F990" s="42"/>
    </row>
    <row r="991">
      <c r="B991" s="18"/>
      <c r="C991" s="18"/>
      <c r="D991" s="18"/>
      <c r="E991" s="42"/>
      <c r="F991" s="42"/>
    </row>
    <row r="992">
      <c r="B992" s="18"/>
      <c r="C992" s="18"/>
      <c r="D992" s="18"/>
      <c r="E992" s="42"/>
      <c r="F992" s="42"/>
    </row>
    <row r="993">
      <c r="B993" s="18"/>
      <c r="C993" s="18"/>
      <c r="D993" s="18"/>
      <c r="E993" s="42"/>
      <c r="F993" s="42"/>
    </row>
    <row r="994">
      <c r="B994" s="18"/>
      <c r="C994" s="18"/>
      <c r="D994" s="18"/>
      <c r="E994" s="42"/>
      <c r="F994" s="42"/>
    </row>
    <row r="995">
      <c r="B995" s="18"/>
      <c r="C995" s="18"/>
      <c r="D995" s="18"/>
      <c r="E995" s="42"/>
      <c r="F995" s="42"/>
    </row>
    <row r="996">
      <c r="B996" s="18"/>
      <c r="C996" s="18"/>
      <c r="D996" s="18"/>
      <c r="E996" s="42"/>
      <c r="F996" s="42"/>
    </row>
    <row r="997">
      <c r="B997" s="18"/>
      <c r="C997" s="18"/>
      <c r="D997" s="18"/>
      <c r="E997" s="42"/>
      <c r="F997" s="42"/>
    </row>
    <row r="998">
      <c r="B998" s="18"/>
      <c r="C998" s="18"/>
      <c r="D998" s="18"/>
      <c r="E998" s="42"/>
      <c r="F998" s="42"/>
    </row>
    <row r="999">
      <c r="B999" s="18"/>
      <c r="C999" s="18"/>
      <c r="D999" s="18"/>
      <c r="E999" s="42"/>
      <c r="F999" s="42"/>
    </row>
  </sheetData>
  <mergeCells count="2">
    <mergeCell ref="K2:P18"/>
    <mergeCell ref="A24:H2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25"/>
    <col customWidth="1" min="2" max="4" width="19.5"/>
    <col customWidth="1" min="5" max="5" width="33.25"/>
    <col customWidth="1" min="6" max="6" width="19.5"/>
  </cols>
  <sheetData>
    <row r="1" ht="27.0" customHeight="1">
      <c r="A1" s="52" t="s">
        <v>126</v>
      </c>
    </row>
    <row r="2" ht="28.5" customHeight="1">
      <c r="A2" s="53" t="s">
        <v>127</v>
      </c>
    </row>
    <row r="3" ht="30.0" customHeight="1">
      <c r="A3" s="54" t="s">
        <v>60</v>
      </c>
      <c r="B3" s="54" t="s">
        <v>128</v>
      </c>
      <c r="C3" s="54" t="s">
        <v>129</v>
      </c>
      <c r="D3" s="54" t="s">
        <v>130</v>
      </c>
      <c r="E3" s="54" t="s">
        <v>131</v>
      </c>
      <c r="F3" s="54" t="s">
        <v>132</v>
      </c>
    </row>
    <row r="4">
      <c r="A4" s="51">
        <v>1.0</v>
      </c>
      <c r="B4" s="55">
        <f>SUMIF('Dados do Burndown'!E2:E780,A4,'Dados do Burndown'!B2:B780)</f>
        <v>24.5</v>
      </c>
      <c r="C4" s="55">
        <f>MAX(0,B4-SUMIFS('Dados do Burndown'!B2:B780,'Dados do Burndown'!E2:E780,A4,'Dados do Burndown'!C2:C780,TRUE,'Dados do Burndown'!D2:D780,"&gt;0",'Dados do Burndown'!D2:D780,"&lt;="&amp;'Dados do Burndown'!R2-1)-SUMIFS('Dados do Burndown'!B2:B780,'Dados do Burndown'!E2:E780,A4,'Dados do Burndown'!C2:C780,TRUE,'Dados do Burndown'!D2:D780,"",'Dados do Burndown'!F2:F780,"&gt;0",'Dados do Burndown'!F2:F780,"&lt;"&amp;A4))</f>
        <v>24.5</v>
      </c>
      <c r="D4" s="55">
        <f>IF('Dados do Burndown'!R2+6&gt;TODAY(),"",MAX(0,B4-SUMIFS('Dados do Burndown'!B2:B780,'Dados do Burndown'!E2:E780,A4,'Dados do Burndown'!C2:C780,TRUE,'Dados do Burndown'!D2:D780,"&gt;0",'Dados do Burndown'!D2:D780,"&lt;="&amp;'Dados do Burndown'!R2+6)-SUMIFS('Dados do Burndown'!B2:B780,'Dados do Burndown'!E2:E780,A4,'Dados do Burndown'!C2:C780,TRUE,'Dados do Burndown'!D2:D780,"",'Dados do Burndown'!F2:F780,"&gt;0",'Dados do Burndown'!F2:F780,"&lt;="&amp;A4)))</f>
        <v>0</v>
      </c>
      <c r="E4" s="8" t="str">
        <f>IF('Dados do Burndown'!R2&gt;TODAY(),"Futura",IF(F4&gt;0,"Preencher datas de conclusão",IF('Dados do Burndown'!R2+6&gt;TODAY(),"Em andamento",IF(OR(D4&gt;0,COUNTIFS('Dados do Burndown'!E2:E780,A4,'Dados do Burndown'!C2:C780,FALSE)&gt;0),"Há esforço pendente","Escopo concluído"))))</f>
        <v>Escopo concluído</v>
      </c>
      <c r="F4" s="8">
        <f>COUNTIFS('Dados do Burndown'!E2:E780,A4,'Dados do Burndown'!B2:B780,"&gt;0",'Dados do Burndown'!C2:C780,TRUE,'Dados do Burndown'!D2:D780,"")</f>
        <v>0</v>
      </c>
    </row>
    <row r="5">
      <c r="A5" s="51">
        <v>2.0</v>
      </c>
      <c r="B5" s="55">
        <f>SUMIF('Dados do Burndown'!E2:E780,A5,'Dados do Burndown'!B2:B780)</f>
        <v>23.5</v>
      </c>
      <c r="C5" s="55">
        <f>MAX(0,B5-SUMIFS('Dados do Burndown'!B2:B780,'Dados do Burndown'!E2:E780,A5,'Dados do Burndown'!C2:C780,TRUE,'Dados do Burndown'!D2:D780,"&gt;0",'Dados do Burndown'!D2:D780,"&lt;="&amp;'Dados do Burndown'!R3-1)-SUMIFS('Dados do Burndown'!B2:B780,'Dados do Burndown'!E2:E780,A5,'Dados do Burndown'!C2:C780,TRUE,'Dados do Burndown'!D2:D780,"",'Dados do Burndown'!F2:F780,"&gt;0",'Dados do Burndown'!F2:F780,"&lt;"&amp;A5))</f>
        <v>23.5</v>
      </c>
      <c r="D5" s="55">
        <f>IF('Dados do Burndown'!R3+6&gt;TODAY(),"",MAX(0,B5-SUMIFS('Dados do Burndown'!B2:B780,'Dados do Burndown'!E2:E780,A5,'Dados do Burndown'!C2:C780,TRUE,'Dados do Burndown'!D2:D780,"&gt;0",'Dados do Burndown'!D2:D780,"&lt;="&amp;'Dados do Burndown'!R3+6)-SUMIFS('Dados do Burndown'!B2:B780,'Dados do Burndown'!E2:E780,A5,'Dados do Burndown'!C2:C780,TRUE,'Dados do Burndown'!D2:D780,"",'Dados do Burndown'!F2:F780,"&gt;0",'Dados do Burndown'!F2:F780,"&lt;="&amp;A5)))</f>
        <v>6</v>
      </c>
      <c r="E5" s="8" t="str">
        <f>IF('Dados do Burndown'!R3&gt;TODAY(),"Futura",IF(F5&gt;0,"Preencher datas de conclusão",IF('Dados do Burndown'!R3+6&gt;TODAY(),"Em andamento",IF(OR(D5&gt;0,COUNTIFS('Dados do Burndown'!E2:E780,A5,'Dados do Burndown'!C2:C780,FALSE)&gt;0),"Há esforço pendente","Escopo concluído"))))</f>
        <v>Há esforço pendente</v>
      </c>
      <c r="F5" s="8">
        <f>COUNTIFS('Dados do Burndown'!E2:E780,A5,'Dados do Burndown'!B2:B780,"&gt;0",'Dados do Burndown'!C2:C780,TRUE,'Dados do Burndown'!D2:D780,"")</f>
        <v>0</v>
      </c>
    </row>
    <row r="6">
      <c r="A6" s="51">
        <v>3.0</v>
      </c>
      <c r="B6" s="55">
        <f>SUMIF('Dados do Burndown'!E2:E780,A6,'Dados do Burndown'!B2:B780)</f>
        <v>25.5</v>
      </c>
      <c r="C6" s="55">
        <f>MAX(0,B6-SUMIFS('Dados do Burndown'!B2:B780,'Dados do Burndown'!E2:E780,A6,'Dados do Burndown'!C2:C780,TRUE,'Dados do Burndown'!D2:D780,"&gt;0",'Dados do Burndown'!D2:D780,"&lt;="&amp;'Dados do Burndown'!R4-1)-SUMIFS('Dados do Burndown'!B2:B780,'Dados do Burndown'!E2:E780,A6,'Dados do Burndown'!C2:C780,TRUE,'Dados do Burndown'!D2:D780,"",'Dados do Burndown'!F2:F780,"&gt;0",'Dados do Burndown'!F2:F780,"&lt;"&amp;A6))</f>
        <v>25.5</v>
      </c>
      <c r="D6" s="55">
        <f>IF('Dados do Burndown'!R4+6&gt;TODAY(),"",MAX(0,B6-SUMIFS('Dados do Burndown'!B2:B780,'Dados do Burndown'!E2:E780,A6,'Dados do Burndown'!C2:C780,TRUE,'Dados do Burndown'!D2:D780,"&gt;0",'Dados do Burndown'!D2:D780,"&lt;="&amp;'Dados do Burndown'!R4+6)-SUMIFS('Dados do Burndown'!B2:B780,'Dados do Burndown'!E2:E780,A6,'Dados do Burndown'!C2:C780,TRUE,'Dados do Burndown'!D2:D780,"",'Dados do Burndown'!F2:F780,"&gt;0",'Dados do Burndown'!F2:F780,"&lt;="&amp;A6)))</f>
        <v>0</v>
      </c>
      <c r="E6" s="8" t="str">
        <f>IF('Dados do Burndown'!R4&gt;TODAY(),"Futura",IF(F6&gt;0,"Preencher datas de conclusão",IF('Dados do Burndown'!R4+6&gt;TODAY(),"Em andamento",IF(OR(D6&gt;0,COUNTIFS('Dados do Burndown'!E2:E780,A6,'Dados do Burndown'!C2:C780,FALSE)&gt;0),"Há esforço pendente","Escopo concluído"))))</f>
        <v>Escopo concluído</v>
      </c>
      <c r="F6" s="8">
        <f>COUNTIFS('Dados do Burndown'!E2:E780,A6,'Dados do Burndown'!B2:B780,"&gt;0",'Dados do Burndown'!C2:C780,TRUE,'Dados do Burndown'!D2:D780,"")</f>
        <v>0</v>
      </c>
    </row>
    <row r="7">
      <c r="A7" s="51">
        <v>4.0</v>
      </c>
      <c r="B7" s="55">
        <f>SUMIF('Dados do Burndown'!E2:E780,A7,'Dados do Burndown'!B2:B780)</f>
        <v>20.5</v>
      </c>
      <c r="C7" s="55">
        <f>MAX(0,B7-SUMIFS('Dados do Burndown'!B2:B780,'Dados do Burndown'!E2:E780,A7,'Dados do Burndown'!C2:C780,TRUE,'Dados do Burndown'!D2:D780,"&gt;0",'Dados do Burndown'!D2:D780,"&lt;="&amp;'Dados do Burndown'!R5-1)-SUMIFS('Dados do Burndown'!B2:B780,'Dados do Burndown'!E2:E780,A7,'Dados do Burndown'!C2:C780,TRUE,'Dados do Burndown'!D2:D780,"",'Dados do Burndown'!F2:F780,"&gt;0",'Dados do Burndown'!F2:F780,"&lt;"&amp;A7))</f>
        <v>20.5</v>
      </c>
      <c r="D7" s="55">
        <f>IF('Dados do Burndown'!R5+6&gt;TODAY(),"",MAX(0,B7-SUMIFS('Dados do Burndown'!B2:B780,'Dados do Burndown'!E2:E780,A7,'Dados do Burndown'!C2:C780,TRUE,'Dados do Burndown'!D2:D780,"&gt;0",'Dados do Burndown'!D2:D780,"&lt;="&amp;'Dados do Burndown'!R5+6)-SUMIFS('Dados do Burndown'!B2:B780,'Dados do Burndown'!E2:E780,A7,'Dados do Burndown'!C2:C780,TRUE,'Dados do Burndown'!D2:D780,"",'Dados do Burndown'!F2:F780,"&gt;0",'Dados do Burndown'!F2:F780,"&lt;="&amp;A7)))</f>
        <v>0</v>
      </c>
      <c r="E7" s="8" t="str">
        <f>IF('Dados do Burndown'!R5&gt;TODAY(),"Futura",IF(F7&gt;0,"Preencher datas de conclusão",IF('Dados do Burndown'!R5+6&gt;TODAY(),"Em andamento",IF(OR(D7&gt;0,COUNTIFS('Dados do Burndown'!E2:E780,A7,'Dados do Burndown'!C2:C780,FALSE)&gt;0),"Há esforço pendente","Escopo concluído"))))</f>
        <v>Escopo concluído</v>
      </c>
      <c r="F7" s="8">
        <f>COUNTIFS('Dados do Burndown'!E2:E780,A7,'Dados do Burndown'!B2:B780,"&gt;0",'Dados do Burndown'!C2:C780,TRUE,'Dados do Burndown'!D2:D780,"")</f>
        <v>0</v>
      </c>
    </row>
    <row r="8">
      <c r="A8" s="51">
        <v>5.0</v>
      </c>
      <c r="B8" s="55">
        <f>SUMIF('Dados do Burndown'!E2:E780,A8,'Dados do Burndown'!B2:B780)</f>
        <v>38</v>
      </c>
      <c r="C8" s="55">
        <f>MAX(0,B8-SUMIFS('Dados do Burndown'!B2:B780,'Dados do Burndown'!E2:E780,A8,'Dados do Burndown'!C2:C780,TRUE,'Dados do Burndown'!D2:D780,"&gt;0",'Dados do Burndown'!D2:D780,"&lt;="&amp;'Dados do Burndown'!R6-1)-SUMIFS('Dados do Burndown'!B2:B780,'Dados do Burndown'!E2:E780,A8,'Dados do Burndown'!C2:C780,TRUE,'Dados do Burndown'!D2:D780,"",'Dados do Burndown'!F2:F780,"&gt;0",'Dados do Burndown'!F2:F780,"&lt;"&amp;A8))</f>
        <v>38</v>
      </c>
      <c r="D8" s="55">
        <f>IF('Dados do Burndown'!R6+6&gt;TODAY(),"",MAX(0,B8-SUMIFS('Dados do Burndown'!B2:B780,'Dados do Burndown'!E2:E780,A8,'Dados do Burndown'!C2:C780,TRUE,'Dados do Burndown'!D2:D780,"&gt;0",'Dados do Burndown'!D2:D780,"&lt;="&amp;'Dados do Burndown'!R6+6)-SUMIFS('Dados do Burndown'!B2:B780,'Dados do Burndown'!E2:E780,A8,'Dados do Burndown'!C2:C780,TRUE,'Dados do Burndown'!D2:D780,"",'Dados do Burndown'!F2:F780,"&gt;0",'Dados do Burndown'!F2:F780,"&lt;="&amp;A8)))</f>
        <v>5</v>
      </c>
      <c r="E8" s="8" t="str">
        <f>IF('Dados do Burndown'!R6&gt;TODAY(),"Futura",IF(F8&gt;0,"Preencher datas de conclusão",IF('Dados do Burndown'!R6+6&gt;TODAY(),"Em andamento",IF(OR(D8&gt;0,COUNTIFS('Dados do Burndown'!E2:E780,A8,'Dados do Burndown'!C2:C780,FALSE)&gt;0),"Há esforço pendente","Escopo concluído"))))</f>
        <v>Há esforço pendente</v>
      </c>
      <c r="F8" s="8">
        <f>COUNTIFS('Dados do Burndown'!E2:E780,A8,'Dados do Burndown'!B2:B780,"&gt;0",'Dados do Burndown'!C2:C780,TRUE,'Dados do Burndown'!D2:D780,"")</f>
        <v>0</v>
      </c>
    </row>
    <row r="9">
      <c r="A9" s="51">
        <v>6.0</v>
      </c>
      <c r="B9" s="55">
        <f>SUMIF('Dados do Burndown'!E2:E780,A9,'Dados do Burndown'!B2:B780)</f>
        <v>21</v>
      </c>
      <c r="C9" s="55">
        <f>MAX(0,B9-SUMIFS('Dados do Burndown'!B2:B780,'Dados do Burndown'!E2:E780,A9,'Dados do Burndown'!C2:C780,TRUE,'Dados do Burndown'!D2:D780,"&gt;0",'Dados do Burndown'!D2:D780,"&lt;="&amp;'Dados do Burndown'!R7-1)-SUMIFS('Dados do Burndown'!B2:B780,'Dados do Burndown'!E2:E780,A9,'Dados do Burndown'!C2:C780,TRUE,'Dados do Burndown'!D2:D780,"",'Dados do Burndown'!F2:F780,"&gt;0",'Dados do Burndown'!F2:F780,"&lt;"&amp;A9))</f>
        <v>21</v>
      </c>
      <c r="D9" s="55">
        <f>IF('Dados do Burndown'!R7+6&gt;TODAY(),"",MAX(0,B9-SUMIFS('Dados do Burndown'!B2:B780,'Dados do Burndown'!E2:E780,A9,'Dados do Burndown'!C2:C780,TRUE,'Dados do Burndown'!D2:D780,"&gt;0",'Dados do Burndown'!D2:D780,"&lt;="&amp;'Dados do Burndown'!R7+6)-SUMIFS('Dados do Burndown'!B2:B780,'Dados do Burndown'!E2:E780,A9,'Dados do Burndown'!C2:C780,TRUE,'Dados do Burndown'!D2:D780,"",'Dados do Burndown'!F2:F780,"&gt;0",'Dados do Burndown'!F2:F780,"&lt;="&amp;A9)))</f>
        <v>0</v>
      </c>
      <c r="E9" s="8" t="str">
        <f>IF('Dados do Burndown'!R7&gt;TODAY(),"Futura",IF(F9&gt;0,"Preencher datas de conclusão",IF('Dados do Burndown'!R7+6&gt;TODAY(),"Em andamento",IF(OR(D9&gt;0,COUNTIFS('Dados do Burndown'!E2:E780,A9,'Dados do Burndown'!C2:C780,FALSE)&gt;0),"Há esforço pendente","Escopo concluído"))))</f>
        <v>Escopo concluído</v>
      </c>
      <c r="F9" s="8">
        <f>COUNTIFS('Dados do Burndown'!E2:E780,A9,'Dados do Burndown'!B2:B780,"&gt;0",'Dados do Burndown'!C2:C780,TRUE,'Dados do Burndown'!D2:D780,"")</f>
        <v>0</v>
      </c>
    </row>
    <row r="10">
      <c r="A10" s="51">
        <v>7.0</v>
      </c>
      <c r="B10" s="55">
        <f>SUMIF('Dados do Burndown'!E2:E780,A10,'Dados do Burndown'!B2:B780)</f>
        <v>48.5</v>
      </c>
      <c r="C10" s="55">
        <f>MAX(0,B10-SUMIFS('Dados do Burndown'!B2:B780,'Dados do Burndown'!E2:E780,A10,'Dados do Burndown'!C2:C780,TRUE,'Dados do Burndown'!D2:D780,"&gt;0",'Dados do Burndown'!D2:D780,"&lt;="&amp;'Dados do Burndown'!R8-1)-SUMIFS('Dados do Burndown'!B2:B780,'Dados do Burndown'!E2:E780,A10,'Dados do Burndown'!C2:C780,TRUE,'Dados do Burndown'!D2:D780,"",'Dados do Burndown'!F2:F780,"&gt;0",'Dados do Burndown'!F2:F780,"&lt;"&amp;A10))</f>
        <v>45.5</v>
      </c>
      <c r="D10" s="55">
        <f>IF('Dados do Burndown'!R8+6&gt;TODAY(),"",MAX(0,B10-SUMIFS('Dados do Burndown'!B2:B780,'Dados do Burndown'!E2:E780,A10,'Dados do Burndown'!C2:C780,TRUE,'Dados do Burndown'!D2:D780,"&gt;0",'Dados do Burndown'!D2:D780,"&lt;="&amp;'Dados do Burndown'!R8+6)-SUMIFS('Dados do Burndown'!B2:B780,'Dados do Burndown'!E2:E780,A10,'Dados do Burndown'!C2:C780,TRUE,'Dados do Burndown'!D2:D780,"",'Dados do Burndown'!F2:F780,"&gt;0",'Dados do Burndown'!F2:F780,"&lt;="&amp;A10)))</f>
        <v>18</v>
      </c>
      <c r="E10" s="8" t="str">
        <f>IF('Dados do Burndown'!R8&gt;TODAY(),"Futura",IF(F10&gt;0,"Preencher datas de conclusão",IF('Dados do Burndown'!R8+6&gt;TODAY(),"Em andamento",IF(OR(D10&gt;0,COUNTIFS('Dados do Burndown'!E2:E780,A10,'Dados do Burndown'!C2:C780,FALSE)&gt;0),"Há esforço pendente","Escopo concluído"))))</f>
        <v>Há esforço pendente</v>
      </c>
      <c r="F10" s="8">
        <f>COUNTIFS('Dados do Burndown'!E2:E780,A10,'Dados do Burndown'!B2:B780,"&gt;0",'Dados do Burndown'!C2:C780,TRUE,'Dados do Burndown'!D2:D780,"")</f>
        <v>0</v>
      </c>
    </row>
    <row r="11">
      <c r="A11" s="51">
        <v>8.0</v>
      </c>
      <c r="B11" s="55">
        <f>SUMIF('Dados do Burndown'!E2:E780,A11,'Dados do Burndown'!B2:B780)</f>
        <v>67.5</v>
      </c>
      <c r="C11" s="55">
        <f>MAX(0,B11-SUMIFS('Dados do Burndown'!B2:B780,'Dados do Burndown'!E2:E780,A11,'Dados do Burndown'!C2:C780,TRUE,'Dados do Burndown'!D2:D780,"&gt;0",'Dados do Burndown'!D2:D780,"&lt;="&amp;'Dados do Burndown'!R9-1)-SUMIFS('Dados do Burndown'!B2:B780,'Dados do Burndown'!E2:E780,A11,'Dados do Burndown'!C2:C780,TRUE,'Dados do Burndown'!D2:D780,"",'Dados do Burndown'!F2:F780,"&gt;0",'Dados do Burndown'!F2:F780,"&lt;"&amp;A11))</f>
        <v>67.5</v>
      </c>
      <c r="D11" s="55">
        <f>IF('Dados do Burndown'!R9+6&gt;TODAY(),"",MAX(0,B11-SUMIFS('Dados do Burndown'!B2:B780,'Dados do Burndown'!E2:E780,A11,'Dados do Burndown'!C2:C780,TRUE,'Dados do Burndown'!D2:D780,"&gt;0",'Dados do Burndown'!D2:D780,"&lt;="&amp;'Dados do Burndown'!R9+6)-SUMIFS('Dados do Burndown'!B2:B780,'Dados do Burndown'!E2:E780,A11,'Dados do Burndown'!C2:C780,TRUE,'Dados do Burndown'!D2:D780,"",'Dados do Burndown'!F2:F780,"&gt;0",'Dados do Burndown'!F2:F780,"&lt;="&amp;A11)))</f>
        <v>22</v>
      </c>
      <c r="E11" s="8" t="str">
        <f>IF('Dados do Burndown'!R9&gt;TODAY(),"Futura",IF(F11&gt;0,"Preencher datas de conclusão",IF('Dados do Burndown'!R9+6&gt;TODAY(),"Em andamento",IF(OR(D11&gt;0,COUNTIFS('Dados do Burndown'!E2:E780,A11,'Dados do Burndown'!C2:C780,FALSE)&gt;0),"Há esforço pendente","Escopo concluído"))))</f>
        <v>Há esforço pendente</v>
      </c>
      <c r="F11" s="8">
        <f>COUNTIFS('Dados do Burndown'!E2:E780,A11,'Dados do Burndown'!B2:B780,"&gt;0",'Dados do Burndown'!C2:C780,TRUE,'Dados do Burndown'!D2:D780,"")</f>
        <v>0</v>
      </c>
    </row>
    <row r="12">
      <c r="A12" s="51">
        <v>9.0</v>
      </c>
      <c r="B12" s="55">
        <f>SUMIF('Dados do Burndown'!E2:E780,A12,'Dados do Burndown'!B2:B780)</f>
        <v>51.5</v>
      </c>
      <c r="C12" s="55">
        <f>MAX(0,B12-SUMIFS('Dados do Burndown'!B2:B780,'Dados do Burndown'!E2:E780,A12,'Dados do Burndown'!C2:C780,TRUE,'Dados do Burndown'!D2:D780,"&gt;0",'Dados do Burndown'!D2:D780,"&lt;="&amp;'Dados do Burndown'!R10-1)-SUMIFS('Dados do Burndown'!B2:B780,'Dados do Burndown'!E2:E780,A12,'Dados do Burndown'!C2:C780,TRUE,'Dados do Burndown'!D2:D780,"",'Dados do Burndown'!F2:F780,"&gt;0",'Dados do Burndown'!F2:F780,"&lt;"&amp;A12))</f>
        <v>28</v>
      </c>
      <c r="D12" s="55" t="str">
        <f>IF('Dados do Burndown'!R10+6&gt;TODAY(),"",MAX(0,B12-SUMIFS('Dados do Burndown'!B2:B780,'Dados do Burndown'!E2:E780,A12,'Dados do Burndown'!C2:C780,TRUE,'Dados do Burndown'!D2:D780,"&gt;0",'Dados do Burndown'!D2:D780,"&lt;="&amp;'Dados do Burndown'!R10+6)-SUMIFS('Dados do Burndown'!B2:B780,'Dados do Burndown'!E2:E780,A12,'Dados do Burndown'!C2:C780,TRUE,'Dados do Burndown'!D2:D780,"",'Dados do Burndown'!F2:F780,"&gt;0",'Dados do Burndown'!F2:F780,"&lt;="&amp;A12)))</f>
        <v/>
      </c>
      <c r="E12" s="8" t="str">
        <f>IF('Dados do Burndown'!R10&gt;TODAY(),"Futura",IF(F12&gt;0,"Preencher datas de conclusão",IF('Dados do Burndown'!R10+6&gt;TODAY(),"Em andamento",IF(OR(D12&gt;0,COUNTIFS('Dados do Burndown'!E2:E780,A12,'Dados do Burndown'!C2:C780,FALSE)&gt;0),"Há esforço pendente","Escopo concluído"))))</f>
        <v>Futura</v>
      </c>
      <c r="F12" s="8">
        <f>COUNTIFS('Dados do Burndown'!E2:E780,A12,'Dados do Burndown'!B2:B780,"&gt;0",'Dados do Burndown'!C2:C780,TRUE,'Dados do Burndown'!D2:D780,"")</f>
        <v>0</v>
      </c>
    </row>
    <row r="13">
      <c r="A13" s="51">
        <v>10.0</v>
      </c>
      <c r="B13" s="55">
        <f>SUMIF('Dados do Burndown'!E2:E780,A13,'Dados do Burndown'!B2:B780)</f>
        <v>57.5</v>
      </c>
      <c r="C13" s="55">
        <f>MAX(0,B13-SUMIFS('Dados do Burndown'!B2:B780,'Dados do Burndown'!E2:E780,A13,'Dados do Burndown'!C2:C780,TRUE,'Dados do Burndown'!D2:D780,"&gt;0",'Dados do Burndown'!D2:D780,"&lt;="&amp;'Dados do Burndown'!R11-1)-SUMIFS('Dados do Burndown'!B2:B780,'Dados do Burndown'!E2:E780,A13,'Dados do Burndown'!C2:C780,TRUE,'Dados do Burndown'!D2:D780,"",'Dados do Burndown'!F2:F780,"&gt;0",'Dados do Burndown'!F2:F780,"&lt;"&amp;A13))</f>
        <v>57.5</v>
      </c>
      <c r="D13" s="55" t="str">
        <f>IF('Dados do Burndown'!R11+6&gt;TODAY(),"",MAX(0,B13-SUMIFS('Dados do Burndown'!B2:B780,'Dados do Burndown'!E2:E780,A13,'Dados do Burndown'!C2:C780,TRUE,'Dados do Burndown'!D2:D780,"&gt;0",'Dados do Burndown'!D2:D780,"&lt;="&amp;'Dados do Burndown'!R11+6)-SUMIFS('Dados do Burndown'!B2:B780,'Dados do Burndown'!E2:E780,A13,'Dados do Burndown'!C2:C780,TRUE,'Dados do Burndown'!D2:D780,"",'Dados do Burndown'!F2:F780,"&gt;0",'Dados do Burndown'!F2:F780,"&lt;="&amp;A13)))</f>
        <v/>
      </c>
      <c r="E13" s="8" t="str">
        <f>IF('Dados do Burndown'!R11&gt;TODAY(),"Futura",IF(F13&gt;0,"Preencher datas de conclusão",IF('Dados do Burndown'!R11+6&gt;TODAY(),"Em andamento",IF(OR(D13&gt;0,COUNTIFS('Dados do Burndown'!E2:E780,A13,'Dados do Burndown'!C2:C780,FALSE)&gt;0),"Há esforço pendente","Escopo concluído"))))</f>
        <v>Futura</v>
      </c>
      <c r="F13" s="8">
        <f>COUNTIFS('Dados do Burndown'!E2:E780,A13,'Dados do Burndown'!B2:B780,"&gt;0",'Dados do Burndown'!C2:C780,TRUE,'Dados do Burndown'!D2:D780,"")</f>
        <v>0</v>
      </c>
    </row>
    <row r="14">
      <c r="A14" s="51">
        <v>11.0</v>
      </c>
      <c r="B14" s="55">
        <f>SUMIF('Dados do Burndown'!E2:E780,A14,'Dados do Burndown'!B2:B780)</f>
        <v>17.5</v>
      </c>
      <c r="C14" s="55">
        <f>MAX(0,B14-SUMIFS('Dados do Burndown'!B2:B780,'Dados do Burndown'!E2:E780,A14,'Dados do Burndown'!C2:C780,TRUE,'Dados do Burndown'!D2:D780,"&gt;0",'Dados do Burndown'!D2:D780,"&lt;="&amp;'Dados do Burndown'!R12-1)-SUMIFS('Dados do Burndown'!B2:B780,'Dados do Burndown'!E2:E780,A14,'Dados do Burndown'!C2:C780,TRUE,'Dados do Burndown'!D2:D780,"",'Dados do Burndown'!F2:F780,"&gt;0",'Dados do Burndown'!F2:F780,"&lt;"&amp;A14))</f>
        <v>17.5</v>
      </c>
      <c r="D14" s="55" t="str">
        <f>IF('Dados do Burndown'!R12+6&gt;TODAY(),"",MAX(0,B14-SUMIFS('Dados do Burndown'!B2:B780,'Dados do Burndown'!E2:E780,A14,'Dados do Burndown'!C2:C780,TRUE,'Dados do Burndown'!D2:D780,"&gt;0",'Dados do Burndown'!D2:D780,"&lt;="&amp;'Dados do Burndown'!R12+6)-SUMIFS('Dados do Burndown'!B2:B780,'Dados do Burndown'!E2:E780,A14,'Dados do Burndown'!C2:C780,TRUE,'Dados do Burndown'!D2:D780,"",'Dados do Burndown'!F2:F780,"&gt;0",'Dados do Burndown'!F2:F780,"&lt;="&amp;A14)))</f>
        <v/>
      </c>
      <c r="E14" s="8" t="str">
        <f>IF('Dados do Burndown'!R12&gt;TODAY(),"Futura",IF(F14&gt;0,"Preencher datas de conclusão",IF('Dados do Burndown'!R12+6&gt;TODAY(),"Em andamento",IF(OR(D14&gt;0,COUNTIFS('Dados do Burndown'!E2:E780,A14,'Dados do Burndown'!C2:C780,FALSE)&gt;0),"Há esforço pendente","Escopo concluído"))))</f>
        <v>Futura</v>
      </c>
      <c r="F14" s="8">
        <f>COUNTIFS('Dados do Burndown'!E2:E780,A14,'Dados do Burndown'!B2:B780,"&gt;0",'Dados do Burndown'!C2:C780,TRUE,'Dados do Burndown'!D2:D780,"")</f>
        <v>0</v>
      </c>
    </row>
    <row r="15">
      <c r="A15" s="51">
        <v>12.0</v>
      </c>
      <c r="B15" s="55">
        <f>SUMIF('Dados do Burndown'!E2:E780,A15,'Dados do Burndown'!B2:B780)</f>
        <v>17.5</v>
      </c>
      <c r="C15" s="55">
        <f>MAX(0,B15-SUMIFS('Dados do Burndown'!B2:B780,'Dados do Burndown'!E2:E780,A15,'Dados do Burndown'!C2:C780,TRUE,'Dados do Burndown'!D2:D780,"&gt;0",'Dados do Burndown'!D2:D780,"&lt;="&amp;'Dados do Burndown'!R13-1)-SUMIFS('Dados do Burndown'!B2:B780,'Dados do Burndown'!E2:E780,A15,'Dados do Burndown'!C2:C780,TRUE,'Dados do Burndown'!D2:D780,"",'Dados do Burndown'!F2:F780,"&gt;0",'Dados do Burndown'!F2:F780,"&lt;"&amp;A15))</f>
        <v>17.5</v>
      </c>
      <c r="D15" s="55" t="str">
        <f>IF('Dados do Burndown'!R13+6&gt;TODAY(),"",MAX(0,B15-SUMIFS('Dados do Burndown'!B2:B780,'Dados do Burndown'!E2:E780,A15,'Dados do Burndown'!C2:C780,TRUE,'Dados do Burndown'!D2:D780,"&gt;0",'Dados do Burndown'!D2:D780,"&lt;="&amp;'Dados do Burndown'!R13+6)-SUMIFS('Dados do Burndown'!B2:B780,'Dados do Burndown'!E2:E780,A15,'Dados do Burndown'!C2:C780,TRUE,'Dados do Burndown'!D2:D780,"",'Dados do Burndown'!F2:F780,"&gt;0",'Dados do Burndown'!F2:F780,"&lt;="&amp;A15)))</f>
        <v/>
      </c>
      <c r="E15" s="8" t="str">
        <f>IF('Dados do Burndown'!R13&gt;TODAY(),"Futura",IF(F15&gt;0,"Preencher datas de conclusão",IF('Dados do Burndown'!R13+6&gt;TODAY(),"Em andamento",IF(OR(D15&gt;0,COUNTIFS('Dados do Burndown'!E2:E780,A15,'Dados do Burndown'!C2:C780,FALSE)&gt;0),"Há esforço pendente","Escopo concluído"))))</f>
        <v>Futura</v>
      </c>
      <c r="F15" s="8">
        <f>COUNTIFS('Dados do Burndown'!E2:E780,A15,'Dados do Burndown'!B2:B780,"&gt;0",'Dados do Burndown'!C2:C780,TRUE,'Dados do Burndown'!D2:D780,"")</f>
        <v>0</v>
      </c>
    </row>
    <row r="16">
      <c r="A16" s="51">
        <v>13.0</v>
      </c>
      <c r="B16" s="55">
        <f>SUMIF('Dados do Burndown'!E2:E780,A16,'Dados do Burndown'!B2:B780)</f>
        <v>17.5</v>
      </c>
      <c r="C16" s="55">
        <f>MAX(0,B16-SUMIFS('Dados do Burndown'!B2:B780,'Dados do Burndown'!E2:E780,A16,'Dados do Burndown'!C2:C780,TRUE,'Dados do Burndown'!D2:D780,"&gt;0",'Dados do Burndown'!D2:D780,"&lt;="&amp;'Dados do Burndown'!R14-1)-SUMIFS('Dados do Burndown'!B2:B780,'Dados do Burndown'!E2:E780,A16,'Dados do Burndown'!C2:C780,TRUE,'Dados do Burndown'!D2:D780,"",'Dados do Burndown'!F2:F780,"&gt;0",'Dados do Burndown'!F2:F780,"&lt;"&amp;A16))</f>
        <v>17.5</v>
      </c>
      <c r="D16" s="55" t="str">
        <f>IF('Dados do Burndown'!R14+6&gt;TODAY(),"",MAX(0,B16-SUMIFS('Dados do Burndown'!B2:B780,'Dados do Burndown'!E2:E780,A16,'Dados do Burndown'!C2:C780,TRUE,'Dados do Burndown'!D2:D780,"&gt;0",'Dados do Burndown'!D2:D780,"&lt;="&amp;'Dados do Burndown'!R14+6)-SUMIFS('Dados do Burndown'!B2:B780,'Dados do Burndown'!E2:E780,A16,'Dados do Burndown'!C2:C780,TRUE,'Dados do Burndown'!D2:D780,"",'Dados do Burndown'!F2:F780,"&gt;0",'Dados do Burndown'!F2:F780,"&lt;="&amp;A16)))</f>
        <v/>
      </c>
      <c r="E16" s="8" t="str">
        <f>IF('Dados do Burndown'!R14&gt;TODAY(),"Futura",IF(F16&gt;0,"Preencher datas de conclusão",IF('Dados do Burndown'!R14+6&gt;TODAY(),"Em andamento",IF(OR(D16&gt;0,COUNTIFS('Dados do Burndown'!E2:E780,A16,'Dados do Burndown'!C2:C780,FALSE)&gt;0),"Há esforço pendente","Escopo concluído"))))</f>
        <v>Futura</v>
      </c>
      <c r="F16" s="8">
        <f>COUNTIFS('Dados do Burndown'!E2:E780,A16,'Dados do Burndown'!B2:B780,"&gt;0",'Dados do Burndown'!C2:C780,TRUE,'Dados do Burndown'!D2:D780,"")</f>
        <v>0</v>
      </c>
    </row>
    <row r="17">
      <c r="A17" s="51">
        <v>14.0</v>
      </c>
      <c r="B17" s="55">
        <f>SUMIF('Dados do Burndown'!E2:E780,A17,'Dados do Burndown'!B2:B780)</f>
        <v>17.5</v>
      </c>
      <c r="C17" s="55">
        <f>MAX(0,B17-SUMIFS('Dados do Burndown'!B2:B780,'Dados do Burndown'!E2:E780,A17,'Dados do Burndown'!C2:C780,TRUE,'Dados do Burndown'!D2:D780,"&gt;0",'Dados do Burndown'!D2:D780,"&lt;="&amp;'Dados do Burndown'!R15-1)-SUMIFS('Dados do Burndown'!B2:B780,'Dados do Burndown'!E2:E780,A17,'Dados do Burndown'!C2:C780,TRUE,'Dados do Burndown'!D2:D780,"",'Dados do Burndown'!F2:F780,"&gt;0",'Dados do Burndown'!F2:F780,"&lt;"&amp;A17))</f>
        <v>17.5</v>
      </c>
      <c r="D17" s="55" t="str">
        <f>IF('Dados do Burndown'!R15+6&gt;TODAY(),"",MAX(0,B17-SUMIFS('Dados do Burndown'!B2:B780,'Dados do Burndown'!E2:E780,A17,'Dados do Burndown'!C2:C780,TRUE,'Dados do Burndown'!D2:D780,"&gt;0",'Dados do Burndown'!D2:D780,"&lt;="&amp;'Dados do Burndown'!R15+6)-SUMIFS('Dados do Burndown'!B2:B780,'Dados do Burndown'!E2:E780,A17,'Dados do Burndown'!C2:C780,TRUE,'Dados do Burndown'!D2:D780,"",'Dados do Burndown'!F2:F780,"&gt;0",'Dados do Burndown'!F2:F780,"&lt;="&amp;A17)))</f>
        <v/>
      </c>
      <c r="E17" s="8" t="str">
        <f>IF('Dados do Burndown'!R15&gt;TODAY(),"Futura",IF(F17&gt;0,"Preencher datas de conclusão",IF('Dados do Burndown'!R15+6&gt;TODAY(),"Em andamento",IF(OR(D17&gt;0,COUNTIFS('Dados do Burndown'!E2:E780,A17,'Dados do Burndown'!C2:C780,FALSE)&gt;0),"Há esforço pendente","Escopo concluído"))))</f>
        <v>Futura</v>
      </c>
      <c r="F17" s="8">
        <f>COUNTIFS('Dados do Burndown'!E2:E780,A17,'Dados do Burndown'!B2:B780,"&gt;0",'Dados do Burndown'!C2:C780,TRUE,'Dados do Burndown'!D2:D780,"")</f>
        <v>0</v>
      </c>
    </row>
    <row r="18">
      <c r="A18" s="51">
        <v>15.0</v>
      </c>
      <c r="B18" s="55">
        <f>SUMIF('Dados do Burndown'!E2:E780,A18,'Dados do Burndown'!B2:B780)</f>
        <v>38.5</v>
      </c>
      <c r="C18" s="55">
        <f>MAX(0,B18-SUMIFS('Dados do Burndown'!B2:B780,'Dados do Burndown'!E2:E780,A18,'Dados do Burndown'!C2:C780,TRUE,'Dados do Burndown'!D2:D780,"&gt;0",'Dados do Burndown'!D2:D780,"&lt;="&amp;'Dados do Burndown'!R16-1)-SUMIFS('Dados do Burndown'!B2:B780,'Dados do Burndown'!E2:E780,A18,'Dados do Burndown'!C2:C780,TRUE,'Dados do Burndown'!D2:D780,"",'Dados do Burndown'!F2:F780,"&gt;0",'Dados do Burndown'!F2:F780,"&lt;"&amp;A18))</f>
        <v>38.5</v>
      </c>
      <c r="D18" s="55" t="str">
        <f>IF('Dados do Burndown'!R16+6&gt;TODAY(),"",MAX(0,B18-SUMIFS('Dados do Burndown'!B2:B780,'Dados do Burndown'!E2:E780,A18,'Dados do Burndown'!C2:C780,TRUE,'Dados do Burndown'!D2:D780,"&gt;0",'Dados do Burndown'!D2:D780,"&lt;="&amp;'Dados do Burndown'!R16+6)-SUMIFS('Dados do Burndown'!B2:B780,'Dados do Burndown'!E2:E780,A18,'Dados do Burndown'!C2:C780,TRUE,'Dados do Burndown'!D2:D780,"",'Dados do Burndown'!F2:F780,"&gt;0",'Dados do Burndown'!F2:F780,"&lt;="&amp;A18)))</f>
        <v/>
      </c>
      <c r="E18" s="8" t="str">
        <f>IF('Dados do Burndown'!R16&gt;TODAY(),"Futura",IF(F18&gt;0,"Preencher datas de conclusão",IF('Dados do Burndown'!R16+6&gt;TODAY(),"Em andamento",IF(OR(D18&gt;0,COUNTIFS('Dados do Burndown'!E2:E780,A18,'Dados do Burndown'!C2:C780,FALSE)&gt;0),"Há esforço pendente","Escopo concluído"))))</f>
        <v>Futura</v>
      </c>
      <c r="F18" s="8">
        <f>COUNTIFS('Dados do Burndown'!E2:E780,A18,'Dados do Burndown'!B2:B780,"&gt;0",'Dados do Burndown'!C2:C780,TRUE,'Dados do Burndown'!D2:D780,"")</f>
        <v>0</v>
      </c>
    </row>
    <row r="19">
      <c r="A19" s="51">
        <v>16.0</v>
      </c>
      <c r="B19" s="55">
        <f>SUMIF('Dados do Burndown'!E2:E780,A19,'Dados do Burndown'!B2:B780)</f>
        <v>21</v>
      </c>
      <c r="C19" s="55">
        <f>MAX(0,B19-SUMIFS('Dados do Burndown'!B2:B780,'Dados do Burndown'!E2:E780,A19,'Dados do Burndown'!C2:C780,TRUE,'Dados do Burndown'!D2:D780,"&gt;0",'Dados do Burndown'!D2:D780,"&lt;="&amp;'Dados do Burndown'!R17-1)-SUMIFS('Dados do Burndown'!B2:B780,'Dados do Burndown'!E2:E780,A19,'Dados do Burndown'!C2:C780,TRUE,'Dados do Burndown'!D2:D780,"",'Dados do Burndown'!F2:F780,"&gt;0",'Dados do Burndown'!F2:F780,"&lt;"&amp;A19))</f>
        <v>21</v>
      </c>
      <c r="D19" s="55" t="str">
        <f>IF('Dados do Burndown'!R17+6&gt;TODAY(),"",MAX(0,B19-SUMIFS('Dados do Burndown'!B2:B780,'Dados do Burndown'!E2:E780,A19,'Dados do Burndown'!C2:C780,TRUE,'Dados do Burndown'!D2:D780,"&gt;0",'Dados do Burndown'!D2:D780,"&lt;="&amp;'Dados do Burndown'!R17+6)-SUMIFS('Dados do Burndown'!B2:B780,'Dados do Burndown'!E2:E780,A19,'Dados do Burndown'!C2:C780,TRUE,'Dados do Burndown'!D2:D780,"",'Dados do Burndown'!F2:F780,"&gt;0",'Dados do Burndown'!F2:F780,"&lt;="&amp;A19)))</f>
        <v/>
      </c>
      <c r="E19" s="8" t="str">
        <f>IF('Dados do Burndown'!R17&gt;TODAY(),"Futura",IF(F19&gt;0,"Preencher datas de conclusão",IF('Dados do Burndown'!R17+6&gt;TODAY(),"Em andamento",IF(OR(D19&gt;0,COUNTIFS('Dados do Burndown'!E2:E780,A19,'Dados do Burndown'!C2:C780,FALSE)&gt;0),"Há esforço pendente","Escopo concluído"))))</f>
        <v>Futura</v>
      </c>
      <c r="F19" s="8">
        <f>COUNTIFS('Dados do Burndown'!E2:E780,A19,'Dados do Burndown'!B2:B780,"&gt;0",'Dados do Burndown'!C2:C780,TRUE,'Dados do Burndown'!D2:D780,"")</f>
        <v>0</v>
      </c>
    </row>
    <row r="20" ht="25.5" customHeight="1">
      <c r="A20" s="56" t="s">
        <v>133</v>
      </c>
    </row>
    <row r="23">
      <c r="A23" s="57" t="s">
        <v>134</v>
      </c>
    </row>
    <row r="24">
      <c r="A24" s="51" t="s">
        <v>135</v>
      </c>
      <c r="B24" s="55">
        <f>B4</f>
        <v>24.5</v>
      </c>
    </row>
    <row r="25">
      <c r="A25" s="51" t="s">
        <v>131</v>
      </c>
      <c r="B25" s="8" t="str">
        <f>E4</f>
        <v>Escopo concluído</v>
      </c>
    </row>
    <row r="26">
      <c r="A26" s="51" t="s">
        <v>136</v>
      </c>
      <c r="B26" s="9">
        <f>'Dados do Burndown'!R2</f>
        <v>46244</v>
      </c>
    </row>
    <row r="27">
      <c r="A27" s="51" t="s">
        <v>137</v>
      </c>
      <c r="B27" s="9">
        <f>B26+6</f>
        <v>46250</v>
      </c>
      <c r="C27" s="51"/>
    </row>
    <row r="28">
      <c r="A28" s="51" t="s">
        <v>132</v>
      </c>
      <c r="B28" s="8">
        <f>F4</f>
        <v>0</v>
      </c>
    </row>
    <row r="29">
      <c r="A29" s="51"/>
      <c r="B29" s="51"/>
    </row>
    <row r="30">
      <c r="A30" s="49" t="s">
        <v>138</v>
      </c>
      <c r="B30" s="58" t="s">
        <v>139</v>
      </c>
      <c r="C30" s="58" t="s">
        <v>140</v>
      </c>
      <c r="D30" s="51" t="s">
        <v>141</v>
      </c>
    </row>
    <row r="31">
      <c r="A31" s="59" t="s">
        <v>142</v>
      </c>
      <c r="B31" s="55">
        <f>$C$4*(7-0)/7</f>
        <v>24.5</v>
      </c>
      <c r="C31" s="55">
        <f>$C$4</f>
        <v>24.5</v>
      </c>
      <c r="D31" s="51">
        <v>0.0</v>
      </c>
    </row>
    <row r="32">
      <c r="A32" s="60">
        <f>$B$26+0</f>
        <v>46244</v>
      </c>
      <c r="B32" s="55">
        <f>$C$4*(7-1)/7</f>
        <v>21</v>
      </c>
      <c r="C32" s="55">
        <f>IF(OR(A32&gt;TODAY(),COUNTIFS('Dados do Burndown'!E2:E780,1,'Dados do Burndown'!B2:B780,"&gt;0",'Dados do Burndown'!C2:C780,TRUE,'Dados do Burndown'!D2:D780,"",'Dados do Burndown'!F2:F780,"")+COUNTIFS('Dados do Burndown'!E2:E780,1,'Dados do Burndown'!B2:B780,"&gt;0",'Dados do Burndown'!C2:C780,TRUE,'Dados do Burndown'!D2:D780,"",'Dados do Burndown'!F2:F780,1)&gt;0),"",MAX(0,$B$4-SUMIFS('Dados do Burndown'!B2:B780,'Dados do Burndown'!E2:E780,1,'Dados do Burndown'!C2:C780,TRUE,'Dados do Burndown'!D2:D780,"&gt;0",'Dados do Burndown'!D2:D780,"&lt;="&amp;A32)-SUMIFS('Dados do Burndown'!B2:B780,'Dados do Burndown'!E2:E780,1,'Dados do Burndown'!C2:C780,TRUE,'Dados do Burndown'!D2:D780,"",'Dados do Burndown'!F2:F780,"&gt;0",'Dados do Burndown'!F2:F780,"&lt;"&amp;1)))</f>
        <v>24.5</v>
      </c>
      <c r="D32" s="51">
        <v>1.0</v>
      </c>
    </row>
    <row r="33">
      <c r="A33" s="60">
        <f>$B$26+1</f>
        <v>46245</v>
      </c>
      <c r="B33" s="55">
        <f>$C$4*(7-2)/7</f>
        <v>17.5</v>
      </c>
      <c r="C33" s="55">
        <f>IF(OR(A33&gt;TODAY(),COUNTIFS('Dados do Burndown'!E2:E780,1,'Dados do Burndown'!B2:B780,"&gt;0",'Dados do Burndown'!C2:C780,TRUE,'Dados do Burndown'!D2:D780,"",'Dados do Burndown'!F2:F780,"")+COUNTIFS('Dados do Burndown'!E2:E780,1,'Dados do Burndown'!B2:B780,"&gt;0",'Dados do Burndown'!C2:C780,TRUE,'Dados do Burndown'!D2:D780,"",'Dados do Burndown'!F2:F780,1)&gt;0),"",MAX(0,$B$4-SUMIFS('Dados do Burndown'!B2:B780,'Dados do Burndown'!E2:E780,1,'Dados do Burndown'!C2:C780,TRUE,'Dados do Burndown'!D2:D780,"&gt;0",'Dados do Burndown'!D2:D780,"&lt;="&amp;A33)-SUMIFS('Dados do Burndown'!B2:B780,'Dados do Burndown'!E2:E780,1,'Dados do Burndown'!C2:C780,TRUE,'Dados do Burndown'!D2:D780,"",'Dados do Burndown'!F2:F780,"&gt;0",'Dados do Burndown'!F2:F780,"&lt;"&amp;1)))</f>
        <v>24.5</v>
      </c>
      <c r="D33" s="51">
        <v>2.0</v>
      </c>
    </row>
    <row r="34">
      <c r="A34" s="60">
        <f>$B$26+2</f>
        <v>46246</v>
      </c>
      <c r="B34" s="55">
        <f>$C$4*(7-3)/7</f>
        <v>14</v>
      </c>
      <c r="C34" s="55">
        <f>IF(OR(A34&gt;TODAY(),COUNTIFS('Dados do Burndown'!E2:E780,1,'Dados do Burndown'!B2:B780,"&gt;0",'Dados do Burndown'!C2:C780,TRUE,'Dados do Burndown'!D2:D780,"",'Dados do Burndown'!F2:F780,"")+COUNTIFS('Dados do Burndown'!E2:E780,1,'Dados do Burndown'!B2:B780,"&gt;0",'Dados do Burndown'!C2:C780,TRUE,'Dados do Burndown'!D2:D780,"",'Dados do Burndown'!F2:F780,1)&gt;0),"",MAX(0,$B$4-SUMIFS('Dados do Burndown'!B2:B780,'Dados do Burndown'!E2:E780,1,'Dados do Burndown'!C2:C780,TRUE,'Dados do Burndown'!D2:D780,"&gt;0",'Dados do Burndown'!D2:D780,"&lt;="&amp;A34)-SUMIFS('Dados do Burndown'!B2:B780,'Dados do Burndown'!E2:E780,1,'Dados do Burndown'!C2:C780,TRUE,'Dados do Burndown'!D2:D780,"",'Dados do Burndown'!F2:F780,"&gt;0",'Dados do Burndown'!F2:F780,"&lt;"&amp;1)))</f>
        <v>17.5</v>
      </c>
      <c r="D34" s="51">
        <v>3.0</v>
      </c>
    </row>
    <row r="35">
      <c r="A35" s="60">
        <f>$B$26+3</f>
        <v>46247</v>
      </c>
      <c r="B35" s="55">
        <f>$C$4*(7-4)/7</f>
        <v>10.5</v>
      </c>
      <c r="C35" s="55">
        <f>IF(OR(A35&gt;TODAY(),COUNTIFS('Dados do Burndown'!E2:E780,1,'Dados do Burndown'!B2:B780,"&gt;0",'Dados do Burndown'!C2:C780,TRUE,'Dados do Burndown'!D2:D780,"",'Dados do Burndown'!F2:F780,"")+COUNTIFS('Dados do Burndown'!E2:E780,1,'Dados do Burndown'!B2:B780,"&gt;0",'Dados do Burndown'!C2:C780,TRUE,'Dados do Burndown'!D2:D780,"",'Dados do Burndown'!F2:F780,1)&gt;0),"",MAX(0,$B$4-SUMIFS('Dados do Burndown'!B2:B780,'Dados do Burndown'!E2:E780,1,'Dados do Burndown'!C2:C780,TRUE,'Dados do Burndown'!D2:D780,"&gt;0",'Dados do Burndown'!D2:D780,"&lt;="&amp;A35)-SUMIFS('Dados do Burndown'!B2:B780,'Dados do Burndown'!E2:E780,1,'Dados do Burndown'!C2:C780,TRUE,'Dados do Burndown'!D2:D780,"",'Dados do Burndown'!F2:F780,"&gt;0",'Dados do Burndown'!F2:F780,"&lt;"&amp;1)))</f>
        <v>17.5</v>
      </c>
      <c r="D35" s="51">
        <v>4.0</v>
      </c>
    </row>
    <row r="36">
      <c r="A36" s="60">
        <f>$B$26+4</f>
        <v>46248</v>
      </c>
      <c r="B36" s="55">
        <f>$C$4*(7-5)/7</f>
        <v>7</v>
      </c>
      <c r="C36" s="55">
        <f>IF(OR(A36&gt;TODAY(),COUNTIFS('Dados do Burndown'!E2:E780,1,'Dados do Burndown'!B2:B780,"&gt;0",'Dados do Burndown'!C2:C780,TRUE,'Dados do Burndown'!D2:D780,"",'Dados do Burndown'!F2:F780,"")+COUNTIFS('Dados do Burndown'!E2:E780,1,'Dados do Burndown'!B2:B780,"&gt;0",'Dados do Burndown'!C2:C780,TRUE,'Dados do Burndown'!D2:D780,"",'Dados do Burndown'!F2:F780,1)&gt;0),"",MAX(0,$B$4-SUMIFS('Dados do Burndown'!B2:B780,'Dados do Burndown'!E2:E780,1,'Dados do Burndown'!C2:C780,TRUE,'Dados do Burndown'!D2:D780,"&gt;0",'Dados do Burndown'!D2:D780,"&lt;="&amp;A36)-SUMIFS('Dados do Burndown'!B2:B780,'Dados do Burndown'!E2:E780,1,'Dados do Burndown'!C2:C780,TRUE,'Dados do Burndown'!D2:D780,"",'Dados do Burndown'!F2:F780,"&gt;0",'Dados do Burndown'!F2:F780,"&lt;"&amp;1)))</f>
        <v>17.5</v>
      </c>
      <c r="D36" s="51">
        <v>5.0</v>
      </c>
    </row>
    <row r="37">
      <c r="A37" s="60">
        <f>$B$26+5</f>
        <v>46249</v>
      </c>
      <c r="B37" s="55">
        <f>$C$4*(7-6)/7</f>
        <v>3.5</v>
      </c>
      <c r="C37" s="55">
        <f>IF(OR(A37&gt;TODAY(),COUNTIFS('Dados do Burndown'!E2:E780,1,'Dados do Burndown'!B2:B780,"&gt;0",'Dados do Burndown'!C2:C780,TRUE,'Dados do Burndown'!D2:D780,"",'Dados do Burndown'!F2:F780,"")+COUNTIFS('Dados do Burndown'!E2:E780,1,'Dados do Burndown'!B2:B780,"&gt;0",'Dados do Burndown'!C2:C780,TRUE,'Dados do Burndown'!D2:D780,"",'Dados do Burndown'!F2:F780,1)&gt;0),"",MAX(0,$B$4-SUMIFS('Dados do Burndown'!B2:B780,'Dados do Burndown'!E2:E780,1,'Dados do Burndown'!C2:C780,TRUE,'Dados do Burndown'!D2:D780,"&gt;0",'Dados do Burndown'!D2:D780,"&lt;="&amp;A37)-SUMIFS('Dados do Burndown'!B2:B780,'Dados do Burndown'!E2:E780,1,'Dados do Burndown'!C2:C780,TRUE,'Dados do Burndown'!D2:D780,"",'Dados do Burndown'!F2:F780,"&gt;0",'Dados do Burndown'!F2:F780,"&lt;"&amp;1)))</f>
        <v>0</v>
      </c>
      <c r="D37" s="51">
        <v>6.0</v>
      </c>
    </row>
    <row r="38">
      <c r="A38" s="60">
        <f>$B$26+6</f>
        <v>46250</v>
      </c>
      <c r="B38" s="55">
        <f>$C$4*(7-7)/7</f>
        <v>0</v>
      </c>
      <c r="C38" s="55">
        <f>IF(OR(A38&gt;TODAY(),COUNTIFS('Dados do Burndown'!E2:E780,1,'Dados do Burndown'!B2:B780,"&gt;0",'Dados do Burndown'!C2:C780,TRUE,'Dados do Burndown'!D2:D780,"",'Dados do Burndown'!F2:F780,"")&gt;0),"",MAX(0,$B$4-SUMIFS('Dados do Burndown'!B2:B780,'Dados do Burndown'!E2:E780,1,'Dados do Burndown'!C2:C780,TRUE,'Dados do Burndown'!D2:D780,"&gt;0",'Dados do Burndown'!D2:D780,"&lt;="&amp;A38)-SUMIFS('Dados do Burndown'!B2:B780,'Dados do Burndown'!E2:E780,1,'Dados do Burndown'!C2:C780,TRUE,'Dados do Burndown'!D2:D780,"",'Dados do Burndown'!F2:F780,"&gt;0",'Dados do Burndown'!F2:F780,"&lt;="&amp;1)))</f>
        <v>0</v>
      </c>
      <c r="D38" s="51">
        <v>7.0</v>
      </c>
    </row>
    <row r="40" ht="24.0" customHeight="1">
      <c r="A40" s="61"/>
    </row>
    <row r="41" ht="24.0" customHeight="1"/>
    <row r="44" ht="25.5" customHeight="1">
      <c r="A44" s="62" t="s">
        <v>143</v>
      </c>
      <c r="E44" s="63" t="s">
        <v>144</v>
      </c>
    </row>
    <row r="45">
      <c r="A45" s="64" t="str">
        <f>IFERROR(__xludf.DUMMYFUNCTION("IFNA(TEXTJOIN(CHAR(10),TRUE,FILTER('Dados do Burndown'!A2:A780,'Dados do Burndown'!A2:A780&lt;&gt;"""",'Dados do Burndown'!E2:E780=1)),""Nenhuma tarefa planejada"")"),"4.2.3 Arquitetura e Divisão de Tarefas
4.2.1.1 Reunião Semanal 1")</f>
        <v>4.2.3 Arquitetura e Divisão de Tarefas
4.2.1.1 Reunião Semanal 1</v>
      </c>
      <c r="E45" s="64" t="str">
        <f>IFERROR(__xludf.DUMMYFUNCTION("IFNA(TEXTJOIN(CHAR(10),TRUE,FILTER('Dados do Burndown'!A2:A780,'Dados do Burndown'!A2:A780&lt;&gt;"""",'Dados do Burndown'!E2:E780=1,'Dados do Burndown'!C2:C780=TRUE,((('Dados do Burndown'!D2:D780&lt;=$B$27)*('Dados do Burndown'!D2:D780&gt;0))+(('Dados do Burndown'!D"&amp;"2:D780="""")*('Dados do Burndown'!F2:F780&gt;0)*('Dados do Burndown'!F2:F780&lt;=1)))&gt;0)),""Nenhuma tarefa do escopo concluída"")"),"4.2.3 Arquitetura e Divisão de Tarefas
4.2.1.1 Reunião Semanal 1")</f>
        <v>4.2.3 Arquitetura e Divisão de Tarefas
4.2.1.1 Reunião Semanal 1</v>
      </c>
    </row>
    <row r="70">
      <c r="A70" s="57" t="s">
        <v>145</v>
      </c>
    </row>
    <row r="71">
      <c r="A71" s="51" t="s">
        <v>135</v>
      </c>
      <c r="B71" s="55">
        <f>B5</f>
        <v>23.5</v>
      </c>
    </row>
    <row r="72">
      <c r="A72" s="51" t="s">
        <v>131</v>
      </c>
      <c r="B72" s="8" t="str">
        <f>E5</f>
        <v>Há esforço pendente</v>
      </c>
    </row>
    <row r="73">
      <c r="A73" s="51" t="s">
        <v>136</v>
      </c>
      <c r="B73" s="9">
        <f>'Dados do Burndown'!R3</f>
        <v>46251</v>
      </c>
    </row>
    <row r="74">
      <c r="A74" s="51" t="s">
        <v>137</v>
      </c>
      <c r="B74" s="9">
        <f>B73+6</f>
        <v>46257</v>
      </c>
      <c r="C74" s="51"/>
    </row>
    <row r="75">
      <c r="A75" s="51" t="s">
        <v>132</v>
      </c>
      <c r="B75" s="8">
        <f>F5</f>
        <v>0</v>
      </c>
    </row>
    <row r="76">
      <c r="A76" s="51"/>
      <c r="B76" s="51"/>
    </row>
    <row r="77">
      <c r="A77" s="49" t="s">
        <v>138</v>
      </c>
      <c r="B77" s="58" t="s">
        <v>139</v>
      </c>
      <c r="C77" s="58" t="s">
        <v>140</v>
      </c>
      <c r="D77" s="51" t="s">
        <v>141</v>
      </c>
    </row>
    <row r="78">
      <c r="A78" s="59" t="s">
        <v>142</v>
      </c>
      <c r="B78" s="55">
        <f>$C$5*(7-0)/7</f>
        <v>23.5</v>
      </c>
      <c r="C78" s="55">
        <f>$C$5</f>
        <v>23.5</v>
      </c>
      <c r="D78" s="51">
        <v>0.0</v>
      </c>
    </row>
    <row r="79">
      <c r="A79" s="60">
        <f>$B$73+0</f>
        <v>46251</v>
      </c>
      <c r="B79" s="55">
        <f>$C$5*(7-1)/7</f>
        <v>20.14285714</v>
      </c>
      <c r="C79" s="55">
        <f>IF(OR(A79&gt;TODAY(),COUNTIFS('Dados do Burndown'!E2:E780,2,'Dados do Burndown'!B2:B780,"&gt;0",'Dados do Burndown'!C2:C780,TRUE,'Dados do Burndown'!D2:D780,"",'Dados do Burndown'!F2:F780,"")+COUNTIFS('Dados do Burndown'!E2:E780,2,'Dados do Burndown'!B2:B780,"&gt;0",'Dados do Burndown'!C2:C780,TRUE,'Dados do Burndown'!D2:D780,"",'Dados do Burndown'!F2:F780,2)&gt;0),"",MAX(0,$B$5-SUMIFS('Dados do Burndown'!B2:B780,'Dados do Burndown'!E2:E780,2,'Dados do Burndown'!C2:C780,TRUE,'Dados do Burndown'!D2:D780,"&gt;0",'Dados do Burndown'!D2:D780,"&lt;="&amp;A79)-SUMIFS('Dados do Burndown'!B2:B780,'Dados do Burndown'!E2:E780,2,'Dados do Burndown'!C2:C780,TRUE,'Dados do Burndown'!D2:D780,"",'Dados do Burndown'!F2:F780,"&gt;0",'Dados do Burndown'!F2:F780,"&lt;"&amp;2)))</f>
        <v>23.5</v>
      </c>
      <c r="D79" s="51">
        <v>1.0</v>
      </c>
    </row>
    <row r="80">
      <c r="A80" s="60">
        <f>$B$73+1</f>
        <v>46252</v>
      </c>
      <c r="B80" s="55">
        <f>$C$5*(7-2)/7</f>
        <v>16.78571429</v>
      </c>
      <c r="C80" s="55">
        <f>IF(OR(A80&gt;TODAY(),COUNTIFS('Dados do Burndown'!E2:E780,2,'Dados do Burndown'!B2:B780,"&gt;0",'Dados do Burndown'!C2:C780,TRUE,'Dados do Burndown'!D2:D780,"",'Dados do Burndown'!F2:F780,"")+COUNTIFS('Dados do Burndown'!E2:E780,2,'Dados do Burndown'!B2:B780,"&gt;0",'Dados do Burndown'!C2:C780,TRUE,'Dados do Burndown'!D2:D780,"",'Dados do Burndown'!F2:F780,2)&gt;0),"",MAX(0,$B$5-SUMIFS('Dados do Burndown'!B2:B780,'Dados do Burndown'!E2:E780,2,'Dados do Burndown'!C2:C780,TRUE,'Dados do Burndown'!D2:D780,"&gt;0",'Dados do Burndown'!D2:D780,"&lt;="&amp;A80)-SUMIFS('Dados do Burndown'!B2:B780,'Dados do Burndown'!E2:E780,2,'Dados do Burndown'!C2:C780,TRUE,'Dados do Burndown'!D2:D780,"",'Dados do Burndown'!F2:F780,"&gt;0",'Dados do Burndown'!F2:F780,"&lt;"&amp;2)))</f>
        <v>23.5</v>
      </c>
      <c r="D80" s="51">
        <v>2.0</v>
      </c>
    </row>
    <row r="81">
      <c r="A81" s="60">
        <f>$B$73+2</f>
        <v>46253</v>
      </c>
      <c r="B81" s="55">
        <f>$C$5*(7-3)/7</f>
        <v>13.42857143</v>
      </c>
      <c r="C81" s="55">
        <f>IF(OR(A81&gt;TODAY(),COUNTIFS('Dados do Burndown'!E2:E780,2,'Dados do Burndown'!B2:B780,"&gt;0",'Dados do Burndown'!C2:C780,TRUE,'Dados do Burndown'!D2:D780,"",'Dados do Burndown'!F2:F780,"")+COUNTIFS('Dados do Burndown'!E2:E780,2,'Dados do Burndown'!B2:B780,"&gt;0",'Dados do Burndown'!C2:C780,TRUE,'Dados do Burndown'!D2:D780,"",'Dados do Burndown'!F2:F780,2)&gt;0),"",MAX(0,$B$5-SUMIFS('Dados do Burndown'!B2:B780,'Dados do Burndown'!E2:E780,2,'Dados do Burndown'!C2:C780,TRUE,'Dados do Burndown'!D2:D780,"&gt;0",'Dados do Burndown'!D2:D780,"&lt;="&amp;A81)-SUMIFS('Dados do Burndown'!B2:B780,'Dados do Burndown'!E2:E780,2,'Dados do Burndown'!C2:C780,TRUE,'Dados do Burndown'!D2:D780,"",'Dados do Burndown'!F2:F780,"&gt;0",'Dados do Burndown'!F2:F780,"&lt;"&amp;2)))</f>
        <v>23.5</v>
      </c>
      <c r="D81" s="51">
        <v>3.0</v>
      </c>
    </row>
    <row r="82">
      <c r="A82" s="60">
        <f>$B$73+3</f>
        <v>46254</v>
      </c>
      <c r="B82" s="55">
        <f>$C$5*(7-4)/7</f>
        <v>10.07142857</v>
      </c>
      <c r="C82" s="55">
        <f>IF(OR(A82&gt;TODAY(),COUNTIFS('Dados do Burndown'!E2:E780,2,'Dados do Burndown'!B2:B780,"&gt;0",'Dados do Burndown'!C2:C780,TRUE,'Dados do Burndown'!D2:D780,"",'Dados do Burndown'!F2:F780,"")+COUNTIFS('Dados do Burndown'!E2:E780,2,'Dados do Burndown'!B2:B780,"&gt;0",'Dados do Burndown'!C2:C780,TRUE,'Dados do Burndown'!D2:D780,"",'Dados do Burndown'!F2:F780,2)&gt;0),"",MAX(0,$B$5-SUMIFS('Dados do Burndown'!B2:B780,'Dados do Burndown'!E2:E780,2,'Dados do Burndown'!C2:C780,TRUE,'Dados do Burndown'!D2:D780,"&gt;0",'Dados do Burndown'!D2:D780,"&lt;="&amp;A82)-SUMIFS('Dados do Burndown'!B2:B780,'Dados do Burndown'!E2:E780,2,'Dados do Burndown'!C2:C780,TRUE,'Dados do Burndown'!D2:D780,"",'Dados do Burndown'!F2:F780,"&gt;0",'Dados do Burndown'!F2:F780,"&lt;"&amp;2)))</f>
        <v>23.5</v>
      </c>
      <c r="D82" s="51">
        <v>4.0</v>
      </c>
    </row>
    <row r="83">
      <c r="A83" s="60">
        <f>$B$73+4</f>
        <v>46255</v>
      </c>
      <c r="B83" s="55">
        <f>$C$5*(7-5)/7</f>
        <v>6.714285714</v>
      </c>
      <c r="C83" s="55">
        <f>IF(OR(A83&gt;TODAY(),COUNTIFS('Dados do Burndown'!E2:E780,2,'Dados do Burndown'!B2:B780,"&gt;0",'Dados do Burndown'!C2:C780,TRUE,'Dados do Burndown'!D2:D780,"",'Dados do Burndown'!F2:F780,"")+COUNTIFS('Dados do Burndown'!E2:E780,2,'Dados do Burndown'!B2:B780,"&gt;0",'Dados do Burndown'!C2:C780,TRUE,'Dados do Burndown'!D2:D780,"",'Dados do Burndown'!F2:F780,2)&gt;0),"",MAX(0,$B$5-SUMIFS('Dados do Burndown'!B2:B780,'Dados do Burndown'!E2:E780,2,'Dados do Burndown'!C2:C780,TRUE,'Dados do Burndown'!D2:D780,"&gt;0",'Dados do Burndown'!D2:D780,"&lt;="&amp;A83)-SUMIFS('Dados do Burndown'!B2:B780,'Dados do Burndown'!E2:E780,2,'Dados do Burndown'!C2:C780,TRUE,'Dados do Burndown'!D2:D780,"",'Dados do Burndown'!F2:F780,"&gt;0",'Dados do Burndown'!F2:F780,"&lt;"&amp;2)))</f>
        <v>23.5</v>
      </c>
      <c r="D83" s="51">
        <v>5.0</v>
      </c>
    </row>
    <row r="84">
      <c r="A84" s="60">
        <f>$B$73+5</f>
        <v>46256</v>
      </c>
      <c r="B84" s="55">
        <f>$C$5*(7-6)/7</f>
        <v>3.357142857</v>
      </c>
      <c r="C84" s="55">
        <f>IF(OR(A84&gt;TODAY(),COUNTIFS('Dados do Burndown'!E2:E780,2,'Dados do Burndown'!B2:B780,"&gt;0",'Dados do Burndown'!C2:C780,TRUE,'Dados do Burndown'!D2:D780,"",'Dados do Burndown'!F2:F780,"")+COUNTIFS('Dados do Burndown'!E2:E780,2,'Dados do Burndown'!B2:B780,"&gt;0",'Dados do Burndown'!C2:C780,TRUE,'Dados do Burndown'!D2:D780,"",'Dados do Burndown'!F2:F780,2)&gt;0),"",MAX(0,$B$5-SUMIFS('Dados do Burndown'!B2:B780,'Dados do Burndown'!E2:E780,2,'Dados do Burndown'!C2:C780,TRUE,'Dados do Burndown'!D2:D780,"&gt;0",'Dados do Burndown'!D2:D780,"&lt;="&amp;A84)-SUMIFS('Dados do Burndown'!B2:B780,'Dados do Burndown'!E2:E780,2,'Dados do Burndown'!C2:C780,TRUE,'Dados do Burndown'!D2:D780,"",'Dados do Burndown'!F2:F780,"&gt;0",'Dados do Burndown'!F2:F780,"&lt;"&amp;2)))</f>
        <v>6</v>
      </c>
      <c r="D84" s="51">
        <v>6.0</v>
      </c>
    </row>
    <row r="85">
      <c r="A85" s="60">
        <f>$B$73+6</f>
        <v>46257</v>
      </c>
      <c r="B85" s="55">
        <f>$C$5*(7-7)/7</f>
        <v>0</v>
      </c>
      <c r="C85" s="55">
        <f>IF(OR(A85&gt;TODAY(),COUNTIFS('Dados do Burndown'!E2:E780,2,'Dados do Burndown'!B2:B780,"&gt;0",'Dados do Burndown'!C2:C780,TRUE,'Dados do Burndown'!D2:D780,"",'Dados do Burndown'!F2:F780,"")&gt;0),"",MAX(0,$B$5-SUMIFS('Dados do Burndown'!B2:B780,'Dados do Burndown'!E2:E780,2,'Dados do Burndown'!C2:C780,TRUE,'Dados do Burndown'!D2:D780,"&gt;0",'Dados do Burndown'!D2:D780,"&lt;="&amp;A85)-SUMIFS('Dados do Burndown'!B2:B780,'Dados do Burndown'!E2:E780,2,'Dados do Burndown'!C2:C780,TRUE,'Dados do Burndown'!D2:D780,"",'Dados do Burndown'!F2:F780,"&gt;0",'Dados do Burndown'!F2:F780,"&lt;="&amp;2)))</f>
        <v>6</v>
      </c>
      <c r="D85" s="51">
        <v>7.0</v>
      </c>
    </row>
    <row r="87" ht="24.0" customHeight="1">
      <c r="A87" s="61"/>
    </row>
    <row r="88" ht="24.0" customHeight="1"/>
    <row r="91" ht="25.5" customHeight="1">
      <c r="A91" s="62" t="s">
        <v>143</v>
      </c>
      <c r="E91" s="63" t="s">
        <v>144</v>
      </c>
    </row>
    <row r="92">
      <c r="A92" s="64" t="str">
        <f>IFERROR(__xludf.DUMMYFUNCTION("IFNA(TEXTJOIN(CHAR(10),TRUE,FILTER('Dados do Burndown'!A2:A780,'Dados do Burndown'!A2:A780&lt;&gt;"""",'Dados do Burndown'!E2:E780=2)),""Nenhuma tarefa planejada"")"),"4.1.1 EAP
4.2.1.2 Reunião Semanal 2")</f>
        <v>4.1.1 EAP
4.2.1.2 Reunião Semanal 2</v>
      </c>
      <c r="E92" s="64" t="str">
        <f>IFERROR(__xludf.DUMMYFUNCTION("IFNA(TEXTJOIN(CHAR(10),TRUE,FILTER('Dados do Burndown'!A2:A780,'Dados do Burndown'!A2:A780&lt;&gt;"""",'Dados do Burndown'!E2:E780=2,'Dados do Burndown'!C2:C780=TRUE,((('Dados do Burndown'!D2:D780&lt;=$B$74)*('Dados do Burndown'!D2:D780&gt;0))+(('Dados do Burndown'!D"&amp;"2:D780="""")*('Dados do Burndown'!F2:F780&gt;0)*('Dados do Burndown'!F2:F780&lt;=2)))&gt;0)),""Nenhuma tarefa do escopo concluída"")"),"4.2.1.2 Reunião Semanal 2")</f>
        <v>4.2.1.2 Reunião Semanal 2</v>
      </c>
    </row>
    <row r="117">
      <c r="A117" s="57" t="s">
        <v>146</v>
      </c>
    </row>
    <row r="118">
      <c r="A118" s="51" t="s">
        <v>135</v>
      </c>
      <c r="B118" s="55">
        <f>B6</f>
        <v>25.5</v>
      </c>
    </row>
    <row r="119">
      <c r="A119" s="51" t="s">
        <v>131</v>
      </c>
      <c r="B119" s="8" t="str">
        <f>E6</f>
        <v>Escopo concluído</v>
      </c>
    </row>
    <row r="120">
      <c r="A120" s="51" t="s">
        <v>136</v>
      </c>
      <c r="B120" s="9">
        <f>'Dados do Burndown'!R4</f>
        <v>46258</v>
      </c>
    </row>
    <row r="121">
      <c r="A121" s="51" t="s">
        <v>137</v>
      </c>
      <c r="B121" s="9">
        <f>B120+6</f>
        <v>46264</v>
      </c>
      <c r="C121" s="51"/>
    </row>
    <row r="122">
      <c r="A122" s="51" t="s">
        <v>132</v>
      </c>
      <c r="B122" s="8">
        <f>F6</f>
        <v>0</v>
      </c>
    </row>
    <row r="123">
      <c r="A123" s="51"/>
      <c r="B123" s="51"/>
    </row>
    <row r="124">
      <c r="A124" s="49" t="s">
        <v>138</v>
      </c>
      <c r="B124" s="58" t="s">
        <v>139</v>
      </c>
      <c r="C124" s="58" t="s">
        <v>140</v>
      </c>
      <c r="D124" s="51" t="s">
        <v>141</v>
      </c>
    </row>
    <row r="125">
      <c r="A125" s="59" t="s">
        <v>142</v>
      </c>
      <c r="B125" s="55">
        <f>$C$6*(7-0)/7</f>
        <v>25.5</v>
      </c>
      <c r="C125" s="55">
        <f>$C$6</f>
        <v>25.5</v>
      </c>
      <c r="D125" s="51">
        <v>0.0</v>
      </c>
    </row>
    <row r="126">
      <c r="A126" s="60">
        <f>$B$120+0</f>
        <v>46258</v>
      </c>
      <c r="B126" s="55">
        <f>$C$6*(7-1)/7</f>
        <v>21.85714286</v>
      </c>
      <c r="C126" s="55">
        <f>IF(OR(A126&gt;TODAY(),COUNTIFS('Dados do Burndown'!E2:E780,3,'Dados do Burndown'!B2:B780,"&gt;0",'Dados do Burndown'!C2:C780,TRUE,'Dados do Burndown'!D2:D780,"",'Dados do Burndown'!F2:F780,"")+COUNTIFS('Dados do Burndown'!E2:E780,3,'Dados do Burndown'!B2:B780,"&gt;0",'Dados do Burndown'!C2:C780,TRUE,'Dados do Burndown'!D2:D780,"",'Dados do Burndown'!F2:F780,3)&gt;0),"",MAX(0,$B$6-SUMIFS('Dados do Burndown'!B2:B780,'Dados do Burndown'!E2:E780,3,'Dados do Burndown'!C2:C780,TRUE,'Dados do Burndown'!D2:D780,"&gt;0",'Dados do Burndown'!D2:D780,"&lt;="&amp;A126)-SUMIFS('Dados do Burndown'!B2:B780,'Dados do Burndown'!E2:E780,3,'Dados do Burndown'!C2:C780,TRUE,'Dados do Burndown'!D2:D780,"",'Dados do Burndown'!F2:F780,"&gt;0",'Dados do Burndown'!F2:F780,"&lt;"&amp;3)))</f>
        <v>25.5</v>
      </c>
      <c r="D126" s="51">
        <v>1.0</v>
      </c>
    </row>
    <row r="127">
      <c r="A127" s="60">
        <f>$B$120+1</f>
        <v>46259</v>
      </c>
      <c r="B127" s="55">
        <f>$C$6*(7-2)/7</f>
        <v>18.21428571</v>
      </c>
      <c r="C127" s="55">
        <f>IF(OR(A127&gt;TODAY(),COUNTIFS('Dados do Burndown'!E2:E780,3,'Dados do Burndown'!B2:B780,"&gt;0",'Dados do Burndown'!C2:C780,TRUE,'Dados do Burndown'!D2:D780,"",'Dados do Burndown'!F2:F780,"")+COUNTIFS('Dados do Burndown'!E2:E780,3,'Dados do Burndown'!B2:B780,"&gt;0",'Dados do Burndown'!C2:C780,TRUE,'Dados do Burndown'!D2:D780,"",'Dados do Burndown'!F2:F780,3)&gt;0),"",MAX(0,$B$6-SUMIFS('Dados do Burndown'!B2:B780,'Dados do Burndown'!E2:E780,3,'Dados do Burndown'!C2:C780,TRUE,'Dados do Burndown'!D2:D780,"&gt;0",'Dados do Burndown'!D2:D780,"&lt;="&amp;A127)-SUMIFS('Dados do Burndown'!B2:B780,'Dados do Burndown'!E2:E780,3,'Dados do Burndown'!C2:C780,TRUE,'Dados do Burndown'!D2:D780,"",'Dados do Burndown'!F2:F780,"&gt;0",'Dados do Burndown'!F2:F780,"&lt;"&amp;3)))</f>
        <v>25.5</v>
      </c>
      <c r="D127" s="51">
        <v>2.0</v>
      </c>
    </row>
    <row r="128">
      <c r="A128" s="60">
        <f>$B$120+2</f>
        <v>46260</v>
      </c>
      <c r="B128" s="55">
        <f>$C$6*(7-3)/7</f>
        <v>14.57142857</v>
      </c>
      <c r="C128" s="55">
        <f>IF(OR(A128&gt;TODAY(),COUNTIFS('Dados do Burndown'!E2:E780,3,'Dados do Burndown'!B2:B780,"&gt;0",'Dados do Burndown'!C2:C780,TRUE,'Dados do Burndown'!D2:D780,"",'Dados do Burndown'!F2:F780,"")+COUNTIFS('Dados do Burndown'!E2:E780,3,'Dados do Burndown'!B2:B780,"&gt;0",'Dados do Burndown'!C2:C780,TRUE,'Dados do Burndown'!D2:D780,"",'Dados do Burndown'!F2:F780,3)&gt;0),"",MAX(0,$B$6-SUMIFS('Dados do Burndown'!B2:B780,'Dados do Burndown'!E2:E780,3,'Dados do Burndown'!C2:C780,TRUE,'Dados do Burndown'!D2:D780,"&gt;0",'Dados do Burndown'!D2:D780,"&lt;="&amp;A128)-SUMIFS('Dados do Burndown'!B2:B780,'Dados do Burndown'!E2:E780,3,'Dados do Burndown'!C2:C780,TRUE,'Dados do Burndown'!D2:D780,"",'Dados do Burndown'!F2:F780,"&gt;0",'Dados do Burndown'!F2:F780,"&lt;"&amp;3)))</f>
        <v>25.5</v>
      </c>
      <c r="D128" s="51">
        <v>3.0</v>
      </c>
    </row>
    <row r="129">
      <c r="A129" s="60">
        <f>$B$120+3</f>
        <v>46261</v>
      </c>
      <c r="B129" s="55">
        <f>$C$6*(7-4)/7</f>
        <v>10.92857143</v>
      </c>
      <c r="C129" s="55">
        <f>IF(OR(A129&gt;TODAY(),COUNTIFS('Dados do Burndown'!E2:E780,3,'Dados do Burndown'!B2:B780,"&gt;0",'Dados do Burndown'!C2:C780,TRUE,'Dados do Burndown'!D2:D780,"",'Dados do Burndown'!F2:F780,"")+COUNTIFS('Dados do Burndown'!E2:E780,3,'Dados do Burndown'!B2:B780,"&gt;0",'Dados do Burndown'!C2:C780,TRUE,'Dados do Burndown'!D2:D780,"",'Dados do Burndown'!F2:F780,3)&gt;0),"",MAX(0,$B$6-SUMIFS('Dados do Burndown'!B2:B780,'Dados do Burndown'!E2:E780,3,'Dados do Burndown'!C2:C780,TRUE,'Dados do Burndown'!D2:D780,"&gt;0",'Dados do Burndown'!D2:D780,"&lt;="&amp;A129)-SUMIFS('Dados do Burndown'!B2:B780,'Dados do Burndown'!E2:E780,3,'Dados do Burndown'!C2:C780,TRUE,'Dados do Burndown'!D2:D780,"",'Dados do Burndown'!F2:F780,"&gt;0",'Dados do Burndown'!F2:F780,"&lt;"&amp;3)))</f>
        <v>25.5</v>
      </c>
      <c r="D129" s="51">
        <v>4.0</v>
      </c>
    </row>
    <row r="130">
      <c r="A130" s="60">
        <f>$B$120+4</f>
        <v>46262</v>
      </c>
      <c r="B130" s="55">
        <f>$C$6*(7-5)/7</f>
        <v>7.285714286</v>
      </c>
      <c r="C130" s="55">
        <f>IF(OR(A130&gt;TODAY(),COUNTIFS('Dados do Burndown'!E2:E780,3,'Dados do Burndown'!B2:B780,"&gt;0",'Dados do Burndown'!C2:C780,TRUE,'Dados do Burndown'!D2:D780,"",'Dados do Burndown'!F2:F780,"")+COUNTIFS('Dados do Burndown'!E2:E780,3,'Dados do Burndown'!B2:B780,"&gt;0",'Dados do Burndown'!C2:C780,TRUE,'Dados do Burndown'!D2:D780,"",'Dados do Burndown'!F2:F780,3)&gt;0),"",MAX(0,$B$6-SUMIFS('Dados do Burndown'!B2:B780,'Dados do Burndown'!E2:E780,3,'Dados do Burndown'!C2:C780,TRUE,'Dados do Burndown'!D2:D780,"&gt;0",'Dados do Burndown'!D2:D780,"&lt;="&amp;A130)-SUMIFS('Dados do Burndown'!B2:B780,'Dados do Burndown'!E2:E780,3,'Dados do Burndown'!C2:C780,TRUE,'Dados do Burndown'!D2:D780,"",'Dados do Burndown'!F2:F780,"&gt;0",'Dados do Burndown'!F2:F780,"&lt;"&amp;3)))</f>
        <v>25.5</v>
      </c>
      <c r="D130" s="51">
        <v>5.0</v>
      </c>
    </row>
    <row r="131">
      <c r="A131" s="60">
        <f>$B$120+5</f>
        <v>46263</v>
      </c>
      <c r="B131" s="55">
        <f>$C$6*(7-6)/7</f>
        <v>3.642857143</v>
      </c>
      <c r="C131" s="55">
        <f>IF(OR(A131&gt;TODAY(),COUNTIFS('Dados do Burndown'!E2:E780,3,'Dados do Burndown'!B2:B780,"&gt;0",'Dados do Burndown'!C2:C780,TRUE,'Dados do Burndown'!D2:D780,"",'Dados do Burndown'!F2:F780,"")+COUNTIFS('Dados do Burndown'!E2:E780,3,'Dados do Burndown'!B2:B780,"&gt;0",'Dados do Burndown'!C2:C780,TRUE,'Dados do Burndown'!D2:D780,"",'Dados do Burndown'!F2:F780,3)&gt;0),"",MAX(0,$B$6-SUMIFS('Dados do Burndown'!B2:B780,'Dados do Burndown'!E2:E780,3,'Dados do Burndown'!C2:C780,TRUE,'Dados do Burndown'!D2:D780,"&gt;0",'Dados do Burndown'!D2:D780,"&lt;="&amp;A131)-SUMIFS('Dados do Burndown'!B2:B780,'Dados do Burndown'!E2:E780,3,'Dados do Burndown'!C2:C780,TRUE,'Dados do Burndown'!D2:D780,"",'Dados do Burndown'!F2:F780,"&gt;0",'Dados do Burndown'!F2:F780,"&lt;"&amp;3)))</f>
        <v>0</v>
      </c>
      <c r="D131" s="51">
        <v>6.0</v>
      </c>
    </row>
    <row r="132">
      <c r="A132" s="60">
        <f>$B$120+6</f>
        <v>46264</v>
      </c>
      <c r="B132" s="55">
        <f>$C$6*(7-7)/7</f>
        <v>0</v>
      </c>
      <c r="C132" s="55">
        <f>IF(OR(A132&gt;TODAY(),COUNTIFS('Dados do Burndown'!E2:E780,3,'Dados do Burndown'!B2:B780,"&gt;0",'Dados do Burndown'!C2:C780,TRUE,'Dados do Burndown'!D2:D780,"",'Dados do Burndown'!F2:F780,"")&gt;0),"",MAX(0,$B$6-SUMIFS('Dados do Burndown'!B2:B780,'Dados do Burndown'!E2:E780,3,'Dados do Burndown'!C2:C780,TRUE,'Dados do Burndown'!D2:D780,"&gt;0",'Dados do Burndown'!D2:D780,"&lt;="&amp;A132)-SUMIFS('Dados do Burndown'!B2:B780,'Dados do Burndown'!E2:E780,3,'Dados do Burndown'!C2:C780,TRUE,'Dados do Burndown'!D2:D780,"",'Dados do Burndown'!F2:F780,"&gt;0",'Dados do Burndown'!F2:F780,"&lt;="&amp;3)))</f>
        <v>0</v>
      </c>
      <c r="D132" s="51">
        <v>7.0</v>
      </c>
    </row>
    <row r="134" ht="24.0" customHeight="1">
      <c r="A134" s="61"/>
    </row>
    <row r="135" ht="24.0" customHeight="1"/>
    <row r="138" ht="25.5" customHeight="1">
      <c r="A138" s="62" t="s">
        <v>143</v>
      </c>
      <c r="E138" s="63" t="s">
        <v>144</v>
      </c>
    </row>
    <row r="139">
      <c r="A139" s="64" t="str">
        <f>IFERROR(__xludf.DUMMYFUNCTION("IFNA(TEXTJOIN(CHAR(10),TRUE,FILTER('Dados do Burndown'!A2:A780,'Dados do Burndown'!A2:A780&lt;&gt;"""",'Dados do Burndown'!E2:E780=3)),""Nenhuma tarefa planejada"")"),"4.1.2.2 APF
4.1.2.3 COCOMO
4.3.2 Kanban
4.4 Análise de Risco
4.2.1.3 Reunião Semanal 3")</f>
        <v>4.1.2.2 APF
4.1.2.3 COCOMO
4.3.2 Kanban
4.4 Análise de Risco
4.2.1.3 Reunião Semanal 3</v>
      </c>
      <c r="E139" s="64" t="str">
        <f>IFERROR(__xludf.DUMMYFUNCTION("IFNA(TEXTJOIN(CHAR(10),TRUE,FILTER('Dados do Burndown'!A2:A780,'Dados do Burndown'!A2:A780&lt;&gt;"""",'Dados do Burndown'!E2:E780=3,'Dados do Burndown'!C2:C780=TRUE,((('Dados do Burndown'!D2:D780&lt;=$B$121)*('Dados do Burndown'!D2:D780&gt;0))+(('Dados do Burndown'!"&amp;"D2:D780="""")*('Dados do Burndown'!F2:F780&gt;0)*('Dados do Burndown'!F2:F780&lt;=3)))&gt;0)),""Nenhuma tarefa do escopo concluída"")"),"4.1.2.2 APF
4.1.2.3 COCOMO
4.3.2 Kanban
4.4 Análise de Risco
4.2.1.3 Reunião Semanal 3")</f>
        <v>4.1.2.2 APF
4.1.2.3 COCOMO
4.3.2 Kanban
4.4 Análise de Risco
4.2.1.3 Reunião Semanal 3</v>
      </c>
    </row>
    <row r="164">
      <c r="A164" s="57" t="s">
        <v>147</v>
      </c>
    </row>
    <row r="165">
      <c r="A165" s="51" t="s">
        <v>135</v>
      </c>
      <c r="B165" s="55">
        <f>B7</f>
        <v>20.5</v>
      </c>
    </row>
    <row r="166">
      <c r="A166" s="51" t="s">
        <v>131</v>
      </c>
      <c r="B166" s="8" t="str">
        <f>E7</f>
        <v>Escopo concluído</v>
      </c>
    </row>
    <row r="167">
      <c r="A167" s="51" t="s">
        <v>136</v>
      </c>
      <c r="B167" s="9">
        <f>'Dados do Burndown'!R5</f>
        <v>46265</v>
      </c>
    </row>
    <row r="168">
      <c r="A168" s="51" t="s">
        <v>137</v>
      </c>
      <c r="B168" s="9">
        <f>B167+6</f>
        <v>46271</v>
      </c>
      <c r="C168" s="51"/>
    </row>
    <row r="169">
      <c r="A169" s="51" t="s">
        <v>132</v>
      </c>
      <c r="B169" s="8">
        <f>F7</f>
        <v>0</v>
      </c>
    </row>
    <row r="170">
      <c r="A170" s="51"/>
      <c r="B170" s="51"/>
    </row>
    <row r="171">
      <c r="A171" s="49" t="s">
        <v>138</v>
      </c>
      <c r="B171" s="58" t="s">
        <v>139</v>
      </c>
      <c r="C171" s="58" t="s">
        <v>140</v>
      </c>
      <c r="D171" s="51" t="s">
        <v>141</v>
      </c>
    </row>
    <row r="172">
      <c r="A172" s="59" t="s">
        <v>142</v>
      </c>
      <c r="B172" s="55">
        <f>$C$7*(7-0)/7</f>
        <v>20.5</v>
      </c>
      <c r="C172" s="55">
        <f>$C$7</f>
        <v>20.5</v>
      </c>
      <c r="D172" s="51">
        <v>0.0</v>
      </c>
    </row>
    <row r="173">
      <c r="A173" s="60">
        <f>$B$167+0</f>
        <v>46265</v>
      </c>
      <c r="B173" s="55">
        <f>$C$7*(7-1)/7</f>
        <v>17.57142857</v>
      </c>
      <c r="C173" s="55">
        <f>IF(OR(A173&gt;TODAY(),COUNTIFS('Dados do Burndown'!E2:E780,4,'Dados do Burndown'!B2:B780,"&gt;0",'Dados do Burndown'!C2:C780,TRUE,'Dados do Burndown'!D2:D780,"",'Dados do Burndown'!F2:F780,"")+COUNTIFS('Dados do Burndown'!E2:E780,4,'Dados do Burndown'!B2:B780,"&gt;0",'Dados do Burndown'!C2:C780,TRUE,'Dados do Burndown'!D2:D780,"",'Dados do Burndown'!F2:F780,4)&gt;0),"",MAX(0,$B$7-SUMIFS('Dados do Burndown'!B2:B780,'Dados do Burndown'!E2:E780,4,'Dados do Burndown'!C2:C780,TRUE,'Dados do Burndown'!D2:D780,"&gt;0",'Dados do Burndown'!D2:D780,"&lt;="&amp;A173)-SUMIFS('Dados do Burndown'!B2:B780,'Dados do Burndown'!E2:E780,4,'Dados do Burndown'!C2:C780,TRUE,'Dados do Burndown'!D2:D780,"",'Dados do Burndown'!F2:F780,"&gt;0",'Dados do Burndown'!F2:F780,"&lt;"&amp;4)))</f>
        <v>20.5</v>
      </c>
      <c r="D173" s="51">
        <v>1.0</v>
      </c>
    </row>
    <row r="174">
      <c r="A174" s="60">
        <f>$B$167+1</f>
        <v>46266</v>
      </c>
      <c r="B174" s="55">
        <f>$C$7*(7-2)/7</f>
        <v>14.64285714</v>
      </c>
      <c r="C174" s="55">
        <f>IF(OR(A174&gt;TODAY(),COUNTIFS('Dados do Burndown'!E2:E780,4,'Dados do Burndown'!B2:B780,"&gt;0",'Dados do Burndown'!C2:C780,TRUE,'Dados do Burndown'!D2:D780,"",'Dados do Burndown'!F2:F780,"")+COUNTIFS('Dados do Burndown'!E2:E780,4,'Dados do Burndown'!B2:B780,"&gt;0",'Dados do Burndown'!C2:C780,TRUE,'Dados do Burndown'!D2:D780,"",'Dados do Burndown'!F2:F780,4)&gt;0),"",MAX(0,$B$7-SUMIFS('Dados do Burndown'!B2:B780,'Dados do Burndown'!E2:E780,4,'Dados do Burndown'!C2:C780,TRUE,'Dados do Burndown'!D2:D780,"&gt;0",'Dados do Burndown'!D2:D780,"&lt;="&amp;A174)-SUMIFS('Dados do Burndown'!B2:B780,'Dados do Burndown'!E2:E780,4,'Dados do Burndown'!C2:C780,TRUE,'Dados do Burndown'!D2:D780,"",'Dados do Burndown'!F2:F780,"&gt;0",'Dados do Burndown'!F2:F780,"&lt;"&amp;4)))</f>
        <v>20.5</v>
      </c>
      <c r="D174" s="51">
        <v>2.0</v>
      </c>
    </row>
    <row r="175">
      <c r="A175" s="60">
        <f>$B$167+2</f>
        <v>46267</v>
      </c>
      <c r="B175" s="55">
        <f>$C$7*(7-3)/7</f>
        <v>11.71428571</v>
      </c>
      <c r="C175" s="55">
        <f>IF(OR(A175&gt;TODAY(),COUNTIFS('Dados do Burndown'!E2:E780,4,'Dados do Burndown'!B2:B780,"&gt;0",'Dados do Burndown'!C2:C780,TRUE,'Dados do Burndown'!D2:D780,"",'Dados do Burndown'!F2:F780,"")+COUNTIFS('Dados do Burndown'!E2:E780,4,'Dados do Burndown'!B2:B780,"&gt;0",'Dados do Burndown'!C2:C780,TRUE,'Dados do Burndown'!D2:D780,"",'Dados do Burndown'!F2:F780,4)&gt;0),"",MAX(0,$B$7-SUMIFS('Dados do Burndown'!B2:B780,'Dados do Burndown'!E2:E780,4,'Dados do Burndown'!C2:C780,TRUE,'Dados do Burndown'!D2:D780,"&gt;0",'Dados do Burndown'!D2:D780,"&lt;="&amp;A175)-SUMIFS('Dados do Burndown'!B2:B780,'Dados do Burndown'!E2:E780,4,'Dados do Burndown'!C2:C780,TRUE,'Dados do Burndown'!D2:D780,"",'Dados do Burndown'!F2:F780,"&gt;0",'Dados do Burndown'!F2:F780,"&lt;"&amp;4)))</f>
        <v>20.5</v>
      </c>
      <c r="D175" s="51">
        <v>3.0</v>
      </c>
    </row>
    <row r="176">
      <c r="A176" s="60">
        <f>$B$167+3</f>
        <v>46268</v>
      </c>
      <c r="B176" s="55">
        <f>$C$7*(7-4)/7</f>
        <v>8.785714286</v>
      </c>
      <c r="C176" s="55">
        <f>IF(OR(A176&gt;TODAY(),COUNTIFS('Dados do Burndown'!E2:E780,4,'Dados do Burndown'!B2:B780,"&gt;0",'Dados do Burndown'!C2:C780,TRUE,'Dados do Burndown'!D2:D780,"",'Dados do Burndown'!F2:F780,"")+COUNTIFS('Dados do Burndown'!E2:E780,4,'Dados do Burndown'!B2:B780,"&gt;0",'Dados do Burndown'!C2:C780,TRUE,'Dados do Burndown'!D2:D780,"",'Dados do Burndown'!F2:F780,4)&gt;0),"",MAX(0,$B$7-SUMIFS('Dados do Burndown'!B2:B780,'Dados do Burndown'!E2:E780,4,'Dados do Burndown'!C2:C780,TRUE,'Dados do Burndown'!D2:D780,"&gt;0",'Dados do Burndown'!D2:D780,"&lt;="&amp;A176)-SUMIFS('Dados do Burndown'!B2:B780,'Dados do Burndown'!E2:E780,4,'Dados do Burndown'!C2:C780,TRUE,'Dados do Burndown'!D2:D780,"",'Dados do Burndown'!F2:F780,"&gt;0",'Dados do Burndown'!F2:F780,"&lt;"&amp;4)))</f>
        <v>20.5</v>
      </c>
      <c r="D176" s="51">
        <v>4.0</v>
      </c>
    </row>
    <row r="177">
      <c r="A177" s="60">
        <f>$B$167+4</f>
        <v>46269</v>
      </c>
      <c r="B177" s="55">
        <f>$C$7*(7-5)/7</f>
        <v>5.857142857</v>
      </c>
      <c r="C177" s="55">
        <f>IF(OR(A177&gt;TODAY(),COUNTIFS('Dados do Burndown'!E2:E780,4,'Dados do Burndown'!B2:B780,"&gt;0",'Dados do Burndown'!C2:C780,TRUE,'Dados do Burndown'!D2:D780,"",'Dados do Burndown'!F2:F780,"")+COUNTIFS('Dados do Burndown'!E2:E780,4,'Dados do Burndown'!B2:B780,"&gt;0",'Dados do Burndown'!C2:C780,TRUE,'Dados do Burndown'!D2:D780,"",'Dados do Burndown'!F2:F780,4)&gt;0),"",MAX(0,$B$7-SUMIFS('Dados do Burndown'!B2:B780,'Dados do Burndown'!E2:E780,4,'Dados do Burndown'!C2:C780,TRUE,'Dados do Burndown'!D2:D780,"&gt;0",'Dados do Burndown'!D2:D780,"&lt;="&amp;A177)-SUMIFS('Dados do Burndown'!B2:B780,'Dados do Burndown'!E2:E780,4,'Dados do Burndown'!C2:C780,TRUE,'Dados do Burndown'!D2:D780,"",'Dados do Burndown'!F2:F780,"&gt;0",'Dados do Burndown'!F2:F780,"&lt;"&amp;4)))</f>
        <v>20.5</v>
      </c>
      <c r="D177" s="51">
        <v>5.0</v>
      </c>
    </row>
    <row r="178">
      <c r="A178" s="60">
        <f>$B$167+5</f>
        <v>46270</v>
      </c>
      <c r="B178" s="55">
        <f>$C$7*(7-6)/7</f>
        <v>2.928571429</v>
      </c>
      <c r="C178" s="55">
        <f>IF(OR(A178&gt;TODAY(),COUNTIFS('Dados do Burndown'!E2:E780,4,'Dados do Burndown'!B2:B780,"&gt;0",'Dados do Burndown'!C2:C780,TRUE,'Dados do Burndown'!D2:D780,"",'Dados do Burndown'!F2:F780,"")+COUNTIFS('Dados do Burndown'!E2:E780,4,'Dados do Burndown'!B2:B780,"&gt;0",'Dados do Burndown'!C2:C780,TRUE,'Dados do Burndown'!D2:D780,"",'Dados do Burndown'!F2:F780,4)&gt;0),"",MAX(0,$B$7-SUMIFS('Dados do Burndown'!B2:B780,'Dados do Burndown'!E2:E780,4,'Dados do Burndown'!C2:C780,TRUE,'Dados do Burndown'!D2:D780,"&gt;0",'Dados do Burndown'!D2:D780,"&lt;="&amp;A178)-SUMIFS('Dados do Burndown'!B2:B780,'Dados do Burndown'!E2:E780,4,'Dados do Burndown'!C2:C780,TRUE,'Dados do Burndown'!D2:D780,"",'Dados do Burndown'!F2:F780,"&gt;0",'Dados do Burndown'!F2:F780,"&lt;"&amp;4)))</f>
        <v>0</v>
      </c>
      <c r="D178" s="51">
        <v>6.0</v>
      </c>
    </row>
    <row r="179">
      <c r="A179" s="60">
        <f>$B$167+6</f>
        <v>46271</v>
      </c>
      <c r="B179" s="55">
        <f>$C$7*(7-7)/7</f>
        <v>0</v>
      </c>
      <c r="C179" s="55">
        <f>IF(OR(A179&gt;TODAY(),COUNTIFS('Dados do Burndown'!E2:E780,4,'Dados do Burndown'!B2:B780,"&gt;0",'Dados do Burndown'!C2:C780,TRUE,'Dados do Burndown'!D2:D780,"",'Dados do Burndown'!F2:F780,"")&gt;0),"",MAX(0,$B$7-SUMIFS('Dados do Burndown'!B2:B780,'Dados do Burndown'!E2:E780,4,'Dados do Burndown'!C2:C780,TRUE,'Dados do Burndown'!D2:D780,"&gt;0",'Dados do Burndown'!D2:D780,"&lt;="&amp;A179)-SUMIFS('Dados do Burndown'!B2:B780,'Dados do Burndown'!E2:E780,4,'Dados do Burndown'!C2:C780,TRUE,'Dados do Burndown'!D2:D780,"",'Dados do Burndown'!F2:F780,"&gt;0",'Dados do Burndown'!F2:F780,"&lt;="&amp;4)))</f>
        <v>0</v>
      </c>
      <c r="D179" s="51">
        <v>7.0</v>
      </c>
    </row>
    <row r="181" ht="24.0" customHeight="1">
      <c r="A181" s="61"/>
    </row>
    <row r="182" ht="24.0" customHeight="1"/>
    <row r="185" ht="25.5" customHeight="1">
      <c r="A185" s="62" t="s">
        <v>143</v>
      </c>
      <c r="E185" s="63" t="s">
        <v>144</v>
      </c>
    </row>
    <row r="186">
      <c r="A186" s="64" t="str">
        <f>IFERROR(__xludf.DUMMYFUNCTION("IFNA(TEXTJOIN(CHAR(10),TRUE,FILTER('Dados do Burndown'!A2:A780,'Dados do Burndown'!A2:A780&lt;&gt;"""",'Dados do Burndown'!E2:E780=4)),""Nenhuma tarefa planejada"")"),"4.1.2.1 Planning Poker
4.2.1.4 Reunião Semanal 4")</f>
        <v>4.1.2.1 Planning Poker
4.2.1.4 Reunião Semanal 4</v>
      </c>
      <c r="E186" s="64" t="str">
        <f>IFERROR(__xludf.DUMMYFUNCTION("IFNA(TEXTJOIN(CHAR(10),TRUE,FILTER('Dados do Burndown'!A2:A780,'Dados do Burndown'!A2:A780&lt;&gt;"""",'Dados do Burndown'!E2:E780=4,'Dados do Burndown'!C2:C780=TRUE,((('Dados do Burndown'!D2:D780&lt;=$B$168)*('Dados do Burndown'!D2:D780&gt;0))+(('Dados do Burndown'!"&amp;"D2:D780="""")*('Dados do Burndown'!F2:F780&gt;0)*('Dados do Burndown'!F2:F780&lt;=4)))&gt;0)),""Nenhuma tarefa do escopo concluída"")"),"4.1.2.1 Planning Poker
4.2.1.4 Reunião Semanal 4")</f>
        <v>4.1.2.1 Planning Poker
4.2.1.4 Reunião Semanal 4</v>
      </c>
    </row>
    <row r="211">
      <c r="A211" s="57" t="s">
        <v>148</v>
      </c>
    </row>
    <row r="212">
      <c r="A212" s="51" t="s">
        <v>135</v>
      </c>
      <c r="B212" s="55">
        <f>B8</f>
        <v>38</v>
      </c>
    </row>
    <row r="213">
      <c r="A213" s="51" t="s">
        <v>131</v>
      </c>
      <c r="B213" s="8" t="str">
        <f>E8</f>
        <v>Há esforço pendente</v>
      </c>
    </row>
    <row r="214">
      <c r="A214" s="51" t="s">
        <v>136</v>
      </c>
      <c r="B214" s="9">
        <f>'Dados do Burndown'!R6</f>
        <v>46272</v>
      </c>
    </row>
    <row r="215">
      <c r="A215" s="51" t="s">
        <v>137</v>
      </c>
      <c r="B215" s="9">
        <f>B214+6</f>
        <v>46278</v>
      </c>
      <c r="C215" s="51"/>
    </row>
    <row r="216">
      <c r="A216" s="51" t="s">
        <v>132</v>
      </c>
      <c r="B216" s="8">
        <f>F8</f>
        <v>0</v>
      </c>
    </row>
    <row r="217">
      <c r="A217" s="51"/>
      <c r="B217" s="51"/>
    </row>
    <row r="218">
      <c r="A218" s="49" t="s">
        <v>138</v>
      </c>
      <c r="B218" s="58" t="s">
        <v>139</v>
      </c>
      <c r="C218" s="58" t="s">
        <v>140</v>
      </c>
      <c r="D218" s="51" t="s">
        <v>141</v>
      </c>
    </row>
    <row r="219">
      <c r="A219" s="59" t="s">
        <v>142</v>
      </c>
      <c r="B219" s="55">
        <f>$C$8*(7-0)/7</f>
        <v>38</v>
      </c>
      <c r="C219" s="55">
        <f>$C$8</f>
        <v>38</v>
      </c>
      <c r="D219" s="51">
        <v>0.0</v>
      </c>
    </row>
    <row r="220">
      <c r="A220" s="60">
        <f>$B$214+0</f>
        <v>46272</v>
      </c>
      <c r="B220" s="55">
        <f>$C$8*(7-1)/7</f>
        <v>32.57142857</v>
      </c>
      <c r="C220" s="55">
        <f>IF(OR(A220&gt;TODAY(),COUNTIFS('Dados do Burndown'!E2:E780,5,'Dados do Burndown'!B2:B780,"&gt;0",'Dados do Burndown'!C2:C780,TRUE,'Dados do Burndown'!D2:D780,"",'Dados do Burndown'!F2:F780,"")+COUNTIFS('Dados do Burndown'!E2:E780,5,'Dados do Burndown'!B2:B780,"&gt;0",'Dados do Burndown'!C2:C780,TRUE,'Dados do Burndown'!D2:D780,"",'Dados do Burndown'!F2:F780,5)&gt;0),"",MAX(0,$B$8-SUMIFS('Dados do Burndown'!B2:B780,'Dados do Burndown'!E2:E780,5,'Dados do Burndown'!C2:C780,TRUE,'Dados do Burndown'!D2:D780,"&gt;0",'Dados do Burndown'!D2:D780,"&lt;="&amp;A220)-SUMIFS('Dados do Burndown'!B2:B780,'Dados do Burndown'!E2:E780,5,'Dados do Burndown'!C2:C780,TRUE,'Dados do Burndown'!D2:D780,"",'Dados do Burndown'!F2:F780,"&gt;0",'Dados do Burndown'!F2:F780,"&lt;"&amp;5)))</f>
        <v>38</v>
      </c>
      <c r="D220" s="51">
        <v>1.0</v>
      </c>
    </row>
    <row r="221">
      <c r="A221" s="60">
        <f>$B$214+1</f>
        <v>46273</v>
      </c>
      <c r="B221" s="55">
        <f>$C$8*(7-2)/7</f>
        <v>27.14285714</v>
      </c>
      <c r="C221" s="55">
        <f>IF(OR(A221&gt;TODAY(),COUNTIFS('Dados do Burndown'!E2:E780,5,'Dados do Burndown'!B2:B780,"&gt;0",'Dados do Burndown'!C2:C780,TRUE,'Dados do Burndown'!D2:D780,"",'Dados do Burndown'!F2:F780,"")+COUNTIFS('Dados do Burndown'!E2:E780,5,'Dados do Burndown'!B2:B780,"&gt;0",'Dados do Burndown'!C2:C780,TRUE,'Dados do Burndown'!D2:D780,"",'Dados do Burndown'!F2:F780,5)&gt;0),"",MAX(0,$B$8-SUMIFS('Dados do Burndown'!B2:B780,'Dados do Burndown'!E2:E780,5,'Dados do Burndown'!C2:C780,TRUE,'Dados do Burndown'!D2:D780,"&gt;0",'Dados do Burndown'!D2:D780,"&lt;="&amp;A221)-SUMIFS('Dados do Burndown'!B2:B780,'Dados do Burndown'!E2:E780,5,'Dados do Burndown'!C2:C780,TRUE,'Dados do Burndown'!D2:D780,"",'Dados do Burndown'!F2:F780,"&gt;0",'Dados do Burndown'!F2:F780,"&lt;"&amp;5)))</f>
        <v>38</v>
      </c>
      <c r="D221" s="51">
        <v>2.0</v>
      </c>
    </row>
    <row r="222">
      <c r="A222" s="60">
        <f>$B$214+2</f>
        <v>46274</v>
      </c>
      <c r="B222" s="55">
        <f>$C$8*(7-3)/7</f>
        <v>21.71428571</v>
      </c>
      <c r="C222" s="55">
        <f>IF(OR(A222&gt;TODAY(),COUNTIFS('Dados do Burndown'!E2:E780,5,'Dados do Burndown'!B2:B780,"&gt;0",'Dados do Burndown'!C2:C780,TRUE,'Dados do Burndown'!D2:D780,"",'Dados do Burndown'!F2:F780,"")+COUNTIFS('Dados do Burndown'!E2:E780,5,'Dados do Burndown'!B2:B780,"&gt;0",'Dados do Burndown'!C2:C780,TRUE,'Dados do Burndown'!D2:D780,"",'Dados do Burndown'!F2:F780,5)&gt;0),"",MAX(0,$B$8-SUMIFS('Dados do Burndown'!B2:B780,'Dados do Burndown'!E2:E780,5,'Dados do Burndown'!C2:C780,TRUE,'Dados do Burndown'!D2:D780,"&gt;0",'Dados do Burndown'!D2:D780,"&lt;="&amp;A222)-SUMIFS('Dados do Burndown'!B2:B780,'Dados do Burndown'!E2:E780,5,'Dados do Burndown'!C2:C780,TRUE,'Dados do Burndown'!D2:D780,"",'Dados do Burndown'!F2:F780,"&gt;0",'Dados do Burndown'!F2:F780,"&lt;"&amp;5)))</f>
        <v>38</v>
      </c>
      <c r="D222" s="51">
        <v>3.0</v>
      </c>
    </row>
    <row r="223">
      <c r="A223" s="60">
        <f>$B$214+3</f>
        <v>46275</v>
      </c>
      <c r="B223" s="55">
        <f>$C$8*(7-4)/7</f>
        <v>16.28571429</v>
      </c>
      <c r="C223" s="55">
        <f>IF(OR(A223&gt;TODAY(),COUNTIFS('Dados do Burndown'!E2:E780,5,'Dados do Burndown'!B2:B780,"&gt;0",'Dados do Burndown'!C2:C780,TRUE,'Dados do Burndown'!D2:D780,"",'Dados do Burndown'!F2:F780,"")+COUNTIFS('Dados do Burndown'!E2:E780,5,'Dados do Burndown'!B2:B780,"&gt;0",'Dados do Burndown'!C2:C780,TRUE,'Dados do Burndown'!D2:D780,"",'Dados do Burndown'!F2:F780,5)&gt;0),"",MAX(0,$B$8-SUMIFS('Dados do Burndown'!B2:B780,'Dados do Burndown'!E2:E780,5,'Dados do Burndown'!C2:C780,TRUE,'Dados do Burndown'!D2:D780,"&gt;0",'Dados do Burndown'!D2:D780,"&lt;="&amp;A223)-SUMIFS('Dados do Burndown'!B2:B780,'Dados do Burndown'!E2:E780,5,'Dados do Burndown'!C2:C780,TRUE,'Dados do Burndown'!D2:D780,"",'Dados do Burndown'!F2:F780,"&gt;0",'Dados do Burndown'!F2:F780,"&lt;"&amp;5)))</f>
        <v>38</v>
      </c>
      <c r="D223" s="51">
        <v>4.0</v>
      </c>
    </row>
    <row r="224">
      <c r="A224" s="60">
        <f>$B$214+4</f>
        <v>46276</v>
      </c>
      <c r="B224" s="55">
        <f>$C$8*(7-5)/7</f>
        <v>10.85714286</v>
      </c>
      <c r="C224" s="55">
        <f>IF(OR(A224&gt;TODAY(),COUNTIFS('Dados do Burndown'!E2:E780,5,'Dados do Burndown'!B2:B780,"&gt;0",'Dados do Burndown'!C2:C780,TRUE,'Dados do Burndown'!D2:D780,"",'Dados do Burndown'!F2:F780,"")+COUNTIFS('Dados do Burndown'!E2:E780,5,'Dados do Burndown'!B2:B780,"&gt;0",'Dados do Burndown'!C2:C780,TRUE,'Dados do Burndown'!D2:D780,"",'Dados do Burndown'!F2:F780,5)&gt;0),"",MAX(0,$B$8-SUMIFS('Dados do Burndown'!B2:B780,'Dados do Burndown'!E2:E780,5,'Dados do Burndown'!C2:C780,TRUE,'Dados do Burndown'!D2:D780,"&gt;0",'Dados do Burndown'!D2:D780,"&lt;="&amp;A224)-SUMIFS('Dados do Burndown'!B2:B780,'Dados do Burndown'!E2:E780,5,'Dados do Burndown'!C2:C780,TRUE,'Dados do Burndown'!D2:D780,"",'Dados do Burndown'!F2:F780,"&gt;0",'Dados do Burndown'!F2:F780,"&lt;"&amp;5)))</f>
        <v>38</v>
      </c>
      <c r="D224" s="51">
        <v>5.0</v>
      </c>
    </row>
    <row r="225">
      <c r="A225" s="60">
        <f>$B$214+5</f>
        <v>46277</v>
      </c>
      <c r="B225" s="55">
        <f>$C$8*(7-6)/7</f>
        <v>5.428571429</v>
      </c>
      <c r="C225" s="55">
        <f>IF(OR(A225&gt;TODAY(),COUNTIFS('Dados do Burndown'!E2:E780,5,'Dados do Burndown'!B2:B780,"&gt;0",'Dados do Burndown'!C2:C780,TRUE,'Dados do Burndown'!D2:D780,"",'Dados do Burndown'!F2:F780,"")+COUNTIFS('Dados do Burndown'!E2:E780,5,'Dados do Burndown'!B2:B780,"&gt;0",'Dados do Burndown'!C2:C780,TRUE,'Dados do Burndown'!D2:D780,"",'Dados do Burndown'!F2:F780,5)&gt;0),"",MAX(0,$B$8-SUMIFS('Dados do Burndown'!B2:B780,'Dados do Burndown'!E2:E780,5,'Dados do Burndown'!C2:C780,TRUE,'Dados do Burndown'!D2:D780,"&gt;0",'Dados do Burndown'!D2:D780,"&lt;="&amp;A225)-SUMIFS('Dados do Burndown'!B2:B780,'Dados do Burndown'!E2:E780,5,'Dados do Burndown'!C2:C780,TRUE,'Dados do Burndown'!D2:D780,"",'Dados do Burndown'!F2:F780,"&gt;0",'Dados do Burndown'!F2:F780,"&lt;"&amp;5)))</f>
        <v>15.5</v>
      </c>
      <c r="D225" s="51">
        <v>6.0</v>
      </c>
    </row>
    <row r="226">
      <c r="A226" s="60">
        <f>$B$214+6</f>
        <v>46278</v>
      </c>
      <c r="B226" s="55">
        <f>$C$8*(7-7)/7</f>
        <v>0</v>
      </c>
      <c r="C226" s="55">
        <f>IF(OR(A226&gt;TODAY(),COUNTIFS('Dados do Burndown'!E2:E780,5,'Dados do Burndown'!B2:B780,"&gt;0",'Dados do Burndown'!C2:C780,TRUE,'Dados do Burndown'!D2:D780,"",'Dados do Burndown'!F2:F780,"")&gt;0),"",MAX(0,$B$8-SUMIFS('Dados do Burndown'!B2:B780,'Dados do Burndown'!E2:E780,5,'Dados do Burndown'!C2:C780,TRUE,'Dados do Burndown'!D2:D780,"&gt;0",'Dados do Burndown'!D2:D780,"&lt;="&amp;A226)-SUMIFS('Dados do Burndown'!B2:B780,'Dados do Burndown'!E2:E780,5,'Dados do Burndown'!C2:C780,TRUE,'Dados do Burndown'!D2:D780,"",'Dados do Burndown'!F2:F780,"&gt;0",'Dados do Burndown'!F2:F780,"&lt;="&amp;5)))</f>
        <v>5</v>
      </c>
      <c r="D226" s="51">
        <v>7.0</v>
      </c>
    </row>
    <row r="228" ht="24.0" customHeight="1">
      <c r="A228" s="61"/>
    </row>
    <row r="229" ht="24.0" customHeight="1"/>
    <row r="232" ht="25.5" customHeight="1">
      <c r="A232" s="62" t="s">
        <v>143</v>
      </c>
      <c r="E232" s="63" t="s">
        <v>144</v>
      </c>
    </row>
    <row r="233">
      <c r="A233" s="64" t="str">
        <f>IFERROR(__xludf.DUMMYFUNCTION("IFNA(TEXTJOIN(CHAR(10),TRUE,FILTER('Dados do Burndown'!A2:A780,'Dados do Burndown'!A2:A780&lt;&gt;"""",'Dados do Burndown'!E2:E780=5)),""Nenhuma tarefa planejada"")"),"1.1.1 Layout da Página Principal
1.1.2 Botões com Roteamento
1.2.1 Layout da Página da Partida
1.3.3 Seletor de Tema
1.4.1 Layout da Página de Créditos
1.4.2 Exibição das Tecnologias/Técnicas do Projeto
1.4.3 Exibição da Equipe
4.2.4 Monitoramento
4.3.3 R"&amp;"oadmap (Gantt)
4.2.1.5 Reunião Semanal 5")</f>
        <v>1.1.1 Layout da Página Principal
1.1.2 Botões com Roteamento
1.2.1 Layout da Página da Partida
1.3.3 Seletor de Tema
1.4.1 Layout da Página de Créditos
1.4.2 Exibição das Tecnologias/Técnicas do Projeto
1.4.3 Exibição da Equipe
4.2.4 Monitoramento
4.3.3 Roadmap (Gantt)
4.2.1.5 Reunião Semanal 5</v>
      </c>
      <c r="E233" s="64" t="str">
        <f>IFERROR(__xludf.DUMMYFUNCTION("IFNA(TEXTJOIN(CHAR(10),TRUE,FILTER('Dados do Burndown'!A2:A780,'Dados do Burndown'!A2:A780&lt;&gt;"""",'Dados do Burndown'!E2:E780=5,'Dados do Burndown'!C2:C780=TRUE,((('Dados do Burndown'!D2:D780&lt;=$B$215)*('Dados do Burndown'!D2:D780&gt;0))+(('Dados do Burndown'!"&amp;"D2:D780="""")*('Dados do Burndown'!F2:F780&gt;0)*('Dados do Burndown'!F2:F780&lt;=5)))&gt;0)),""Nenhuma tarefa do escopo concluída"")"),"1.1.1 Layout da Página Principal
1.1.2 Botões com Roteamento
1.2.1 Layout da Página da Partida
1.3.3 Seletor de Tema
1.4.1 Layout da Página de Créditos
1.4.2 Exibição das Tecnologias/Técnicas do Projeto
1.4.3 Exibição da Equipe
4.3.3 Roadmap (Gantt)
4.2.1"&amp;".5 Reunião Semanal 5")</f>
        <v>1.1.1 Layout da Página Principal
1.1.2 Botões com Roteamento
1.2.1 Layout da Página da Partida
1.3.3 Seletor de Tema
1.4.1 Layout da Página de Créditos
1.4.2 Exibição das Tecnologias/Técnicas do Projeto
1.4.3 Exibição da Equipe
4.3.3 Roadmap (Gantt)
4.2.1.5 Reunião Semanal 5</v>
      </c>
    </row>
    <row r="258">
      <c r="A258" s="57" t="s">
        <v>149</v>
      </c>
    </row>
    <row r="259">
      <c r="A259" s="51" t="s">
        <v>135</v>
      </c>
      <c r="B259" s="55">
        <f>B9</f>
        <v>21</v>
      </c>
    </row>
    <row r="260">
      <c r="A260" s="51" t="s">
        <v>131</v>
      </c>
      <c r="B260" s="8" t="str">
        <f>E9</f>
        <v>Escopo concluído</v>
      </c>
    </row>
    <row r="261">
      <c r="A261" s="51" t="s">
        <v>136</v>
      </c>
      <c r="B261" s="9">
        <f>'Dados do Burndown'!R7</f>
        <v>46279</v>
      </c>
    </row>
    <row r="262">
      <c r="A262" s="51" t="s">
        <v>137</v>
      </c>
      <c r="B262" s="9">
        <f>B261+6</f>
        <v>46285</v>
      </c>
      <c r="C262" s="51"/>
    </row>
    <row r="263">
      <c r="A263" s="51" t="s">
        <v>132</v>
      </c>
      <c r="B263" s="8">
        <f>F9</f>
        <v>0</v>
      </c>
    </row>
    <row r="264">
      <c r="A264" s="51"/>
      <c r="B264" s="51"/>
    </row>
    <row r="265">
      <c r="A265" s="49" t="s">
        <v>138</v>
      </c>
      <c r="B265" s="58" t="s">
        <v>139</v>
      </c>
      <c r="C265" s="58" t="s">
        <v>140</v>
      </c>
      <c r="D265" s="51" t="s">
        <v>141</v>
      </c>
    </row>
    <row r="266">
      <c r="A266" s="59" t="s">
        <v>142</v>
      </c>
      <c r="B266" s="55">
        <f>$C$9*(7-0)/7</f>
        <v>21</v>
      </c>
      <c r="C266" s="55">
        <f>$C$9</f>
        <v>21</v>
      </c>
      <c r="D266" s="51">
        <v>0.0</v>
      </c>
    </row>
    <row r="267">
      <c r="A267" s="60">
        <f>$B$261+0</f>
        <v>46279</v>
      </c>
      <c r="B267" s="55">
        <f>$C$9*(7-1)/7</f>
        <v>18</v>
      </c>
      <c r="C267" s="55">
        <f>IF(OR(A267&gt;TODAY(),COUNTIFS('Dados do Burndown'!E2:E780,6,'Dados do Burndown'!B2:B780,"&gt;0",'Dados do Burndown'!C2:C780,TRUE,'Dados do Burndown'!D2:D780,"",'Dados do Burndown'!F2:F780,"")+COUNTIFS('Dados do Burndown'!E2:E780,6,'Dados do Burndown'!B2:B780,"&gt;0",'Dados do Burndown'!C2:C780,TRUE,'Dados do Burndown'!D2:D780,"",'Dados do Burndown'!F2:F780,6)&gt;0),"",MAX(0,$B$9-SUMIFS('Dados do Burndown'!B2:B780,'Dados do Burndown'!E2:E780,6,'Dados do Burndown'!C2:C780,TRUE,'Dados do Burndown'!D2:D780,"&gt;0",'Dados do Burndown'!D2:D780,"&lt;="&amp;A267)-SUMIFS('Dados do Burndown'!B2:B780,'Dados do Burndown'!E2:E780,6,'Dados do Burndown'!C2:C780,TRUE,'Dados do Burndown'!D2:D780,"",'Dados do Burndown'!F2:F780,"&gt;0",'Dados do Burndown'!F2:F780,"&lt;"&amp;6)))</f>
        <v>17.5</v>
      </c>
      <c r="D267" s="51">
        <v>1.0</v>
      </c>
    </row>
    <row r="268">
      <c r="A268" s="60">
        <f>$B$261+1</f>
        <v>46280</v>
      </c>
      <c r="B268" s="55">
        <f>$C$9*(7-2)/7</f>
        <v>15</v>
      </c>
      <c r="C268" s="55">
        <f>IF(OR(A268&gt;TODAY(),COUNTIFS('Dados do Burndown'!E2:E780,6,'Dados do Burndown'!B2:B780,"&gt;0",'Dados do Burndown'!C2:C780,TRUE,'Dados do Burndown'!D2:D780,"",'Dados do Burndown'!F2:F780,"")+COUNTIFS('Dados do Burndown'!E2:E780,6,'Dados do Burndown'!B2:B780,"&gt;0",'Dados do Burndown'!C2:C780,TRUE,'Dados do Burndown'!D2:D780,"",'Dados do Burndown'!F2:F780,6)&gt;0),"",MAX(0,$B$9-SUMIFS('Dados do Burndown'!B2:B780,'Dados do Burndown'!E2:E780,6,'Dados do Burndown'!C2:C780,TRUE,'Dados do Burndown'!D2:D780,"&gt;0",'Dados do Burndown'!D2:D780,"&lt;="&amp;A268)-SUMIFS('Dados do Burndown'!B2:B780,'Dados do Burndown'!E2:E780,6,'Dados do Burndown'!C2:C780,TRUE,'Dados do Burndown'!D2:D780,"",'Dados do Burndown'!F2:F780,"&gt;0",'Dados do Burndown'!F2:F780,"&lt;"&amp;6)))</f>
        <v>17.5</v>
      </c>
      <c r="D268" s="51">
        <v>2.0</v>
      </c>
    </row>
    <row r="269">
      <c r="A269" s="60">
        <f>$B$261+2</f>
        <v>46281</v>
      </c>
      <c r="B269" s="55">
        <f>$C$9*(7-3)/7</f>
        <v>12</v>
      </c>
      <c r="C269" s="55">
        <f>IF(OR(A269&gt;TODAY(),COUNTIFS('Dados do Burndown'!E2:E780,6,'Dados do Burndown'!B2:B780,"&gt;0",'Dados do Burndown'!C2:C780,TRUE,'Dados do Burndown'!D2:D780,"",'Dados do Burndown'!F2:F780,"")+COUNTIFS('Dados do Burndown'!E2:E780,6,'Dados do Burndown'!B2:B780,"&gt;0",'Dados do Burndown'!C2:C780,TRUE,'Dados do Burndown'!D2:D780,"",'Dados do Burndown'!F2:F780,6)&gt;0),"",MAX(0,$B$9-SUMIFS('Dados do Burndown'!B2:B780,'Dados do Burndown'!E2:E780,6,'Dados do Burndown'!C2:C780,TRUE,'Dados do Burndown'!D2:D780,"&gt;0",'Dados do Burndown'!D2:D780,"&lt;="&amp;A269)-SUMIFS('Dados do Burndown'!B2:B780,'Dados do Burndown'!E2:E780,6,'Dados do Burndown'!C2:C780,TRUE,'Dados do Burndown'!D2:D780,"",'Dados do Burndown'!F2:F780,"&gt;0",'Dados do Burndown'!F2:F780,"&lt;"&amp;6)))</f>
        <v>17.5</v>
      </c>
      <c r="D269" s="51">
        <v>3.0</v>
      </c>
    </row>
    <row r="270">
      <c r="A270" s="60">
        <f>$B$261+3</f>
        <v>46282</v>
      </c>
      <c r="B270" s="55">
        <f>$C$9*(7-4)/7</f>
        <v>9</v>
      </c>
      <c r="C270" s="55">
        <f>IF(OR(A270&gt;TODAY(),COUNTIFS('Dados do Burndown'!E2:E780,6,'Dados do Burndown'!B2:B780,"&gt;0",'Dados do Burndown'!C2:C780,TRUE,'Dados do Burndown'!D2:D780,"",'Dados do Burndown'!F2:F780,"")+COUNTIFS('Dados do Burndown'!E2:E780,6,'Dados do Burndown'!B2:B780,"&gt;0",'Dados do Burndown'!C2:C780,TRUE,'Dados do Burndown'!D2:D780,"",'Dados do Burndown'!F2:F780,6)&gt;0),"",MAX(0,$B$9-SUMIFS('Dados do Burndown'!B2:B780,'Dados do Burndown'!E2:E780,6,'Dados do Burndown'!C2:C780,TRUE,'Dados do Burndown'!D2:D780,"&gt;0",'Dados do Burndown'!D2:D780,"&lt;="&amp;A270)-SUMIFS('Dados do Burndown'!B2:B780,'Dados do Burndown'!E2:E780,6,'Dados do Burndown'!C2:C780,TRUE,'Dados do Burndown'!D2:D780,"",'Dados do Burndown'!F2:F780,"&gt;0",'Dados do Burndown'!F2:F780,"&lt;"&amp;6)))</f>
        <v>17.5</v>
      </c>
      <c r="D270" s="51">
        <v>4.0</v>
      </c>
    </row>
    <row r="271">
      <c r="A271" s="60">
        <f>$B$261+4</f>
        <v>46283</v>
      </c>
      <c r="B271" s="55">
        <f>$C$9*(7-5)/7</f>
        <v>6</v>
      </c>
      <c r="C271" s="55">
        <f>IF(OR(A271&gt;TODAY(),COUNTIFS('Dados do Burndown'!E2:E780,6,'Dados do Burndown'!B2:B780,"&gt;0",'Dados do Burndown'!C2:C780,TRUE,'Dados do Burndown'!D2:D780,"",'Dados do Burndown'!F2:F780,"")+COUNTIFS('Dados do Burndown'!E2:E780,6,'Dados do Burndown'!B2:B780,"&gt;0",'Dados do Burndown'!C2:C780,TRUE,'Dados do Burndown'!D2:D780,"",'Dados do Burndown'!F2:F780,6)&gt;0),"",MAX(0,$B$9-SUMIFS('Dados do Burndown'!B2:B780,'Dados do Burndown'!E2:E780,6,'Dados do Burndown'!C2:C780,TRUE,'Dados do Burndown'!D2:D780,"&gt;0",'Dados do Burndown'!D2:D780,"&lt;="&amp;A271)-SUMIFS('Dados do Burndown'!B2:B780,'Dados do Burndown'!E2:E780,6,'Dados do Burndown'!C2:C780,TRUE,'Dados do Burndown'!D2:D780,"",'Dados do Burndown'!F2:F780,"&gt;0",'Dados do Burndown'!F2:F780,"&lt;"&amp;6)))</f>
        <v>17.5</v>
      </c>
      <c r="D271" s="51">
        <v>5.0</v>
      </c>
    </row>
    <row r="272">
      <c r="A272" s="60">
        <f>$B$261+5</f>
        <v>46284</v>
      </c>
      <c r="B272" s="55">
        <f>$C$9*(7-6)/7</f>
        <v>3</v>
      </c>
      <c r="C272" s="55">
        <f>IF(OR(A272&gt;TODAY(),COUNTIFS('Dados do Burndown'!E2:E780,6,'Dados do Burndown'!B2:B780,"&gt;0",'Dados do Burndown'!C2:C780,TRUE,'Dados do Burndown'!D2:D780,"",'Dados do Burndown'!F2:F780,"")+COUNTIFS('Dados do Burndown'!E2:E780,6,'Dados do Burndown'!B2:B780,"&gt;0",'Dados do Burndown'!C2:C780,TRUE,'Dados do Burndown'!D2:D780,"",'Dados do Burndown'!F2:F780,6)&gt;0),"",MAX(0,$B$9-SUMIFS('Dados do Burndown'!B2:B780,'Dados do Burndown'!E2:E780,6,'Dados do Burndown'!C2:C780,TRUE,'Dados do Burndown'!D2:D780,"&gt;0",'Dados do Burndown'!D2:D780,"&lt;="&amp;A272)-SUMIFS('Dados do Burndown'!B2:B780,'Dados do Burndown'!E2:E780,6,'Dados do Burndown'!C2:C780,TRUE,'Dados do Burndown'!D2:D780,"",'Dados do Burndown'!F2:F780,"&gt;0",'Dados do Burndown'!F2:F780,"&lt;"&amp;6)))</f>
        <v>0</v>
      </c>
      <c r="D272" s="51">
        <v>6.0</v>
      </c>
    </row>
    <row r="273">
      <c r="A273" s="60">
        <f>$B$261+6</f>
        <v>46285</v>
      </c>
      <c r="B273" s="55">
        <f>$C$9*(7-7)/7</f>
        <v>0</v>
      </c>
      <c r="C273" s="55">
        <f>IF(OR(A273&gt;TODAY(),COUNTIFS('Dados do Burndown'!E2:E780,6,'Dados do Burndown'!B2:B780,"&gt;0",'Dados do Burndown'!C2:C780,TRUE,'Dados do Burndown'!D2:D780,"",'Dados do Burndown'!F2:F780,"")&gt;0),"",MAX(0,$B$9-SUMIFS('Dados do Burndown'!B2:B780,'Dados do Burndown'!E2:E780,6,'Dados do Burndown'!C2:C780,TRUE,'Dados do Burndown'!D2:D780,"&gt;0",'Dados do Burndown'!D2:D780,"&lt;="&amp;A273)-SUMIFS('Dados do Burndown'!B2:B780,'Dados do Burndown'!E2:E780,6,'Dados do Burndown'!C2:C780,TRUE,'Dados do Burndown'!D2:D780,"",'Dados do Burndown'!F2:F780,"&gt;0",'Dados do Burndown'!F2:F780,"&lt;="&amp;6)))</f>
        <v>0</v>
      </c>
      <c r="D273" s="51">
        <v>7.0</v>
      </c>
    </row>
    <row r="275" ht="24.0" customHeight="1">
      <c r="A275" s="61"/>
    </row>
    <row r="276" ht="24.0" customHeight="1"/>
    <row r="279" ht="25.5" customHeight="1">
      <c r="A279" s="62" t="s">
        <v>143</v>
      </c>
      <c r="E279" s="63" t="s">
        <v>144</v>
      </c>
    </row>
    <row r="280">
      <c r="A280" s="64" t="str">
        <f>IFERROR(__xludf.DUMMYFUNCTION("IFNA(TEXTJOIN(CHAR(10),TRUE,FILTER('Dados do Burndown'!A2:A780,'Dados do Burndown'!A2:A780&lt;&gt;"""",'Dados do Burndown'!E2:E780=6)),""Nenhuma tarefa planejada"")"),"4.2.2.1 1º Apresentação
4.2.1.6 Reunião Semanal 6")</f>
        <v>4.2.2.1 1º Apresentação
4.2.1.6 Reunião Semanal 6</v>
      </c>
      <c r="E280" s="64" t="str">
        <f>IFERROR(__xludf.DUMMYFUNCTION("IFNA(TEXTJOIN(CHAR(10),TRUE,FILTER('Dados do Burndown'!A2:A780,'Dados do Burndown'!A2:A780&lt;&gt;"""",'Dados do Burndown'!E2:E780=6,'Dados do Burndown'!C2:C780=TRUE,((('Dados do Burndown'!D2:D780&lt;=$B$262)*('Dados do Burndown'!D2:D780&gt;0))+(('Dados do Burndown'!"&amp;"D2:D780="""")*('Dados do Burndown'!F2:F780&gt;0)*('Dados do Burndown'!F2:F780&lt;=6)))&gt;0)),""Nenhuma tarefa do escopo concluída"")"),"4.2.2.1 1º Apresentação
4.2.1.6 Reunião Semanal 6")</f>
        <v>4.2.2.1 1º Apresentação
4.2.1.6 Reunião Semanal 6</v>
      </c>
    </row>
    <row r="305">
      <c r="A305" s="57" t="s">
        <v>150</v>
      </c>
    </row>
    <row r="306">
      <c r="A306" s="51" t="s">
        <v>135</v>
      </c>
      <c r="B306" s="55">
        <f>B10</f>
        <v>48.5</v>
      </c>
    </row>
    <row r="307">
      <c r="A307" s="51" t="s">
        <v>131</v>
      </c>
      <c r="B307" s="8" t="str">
        <f>E10</f>
        <v>Há esforço pendente</v>
      </c>
    </row>
    <row r="308">
      <c r="A308" s="51" t="s">
        <v>136</v>
      </c>
      <c r="B308" s="9">
        <f>'Dados do Burndown'!R8</f>
        <v>46286</v>
      </c>
    </row>
    <row r="309">
      <c r="A309" s="51" t="s">
        <v>137</v>
      </c>
      <c r="B309" s="9">
        <f>B308+6</f>
        <v>46292</v>
      </c>
      <c r="C309" s="51"/>
    </row>
    <row r="310">
      <c r="A310" s="51" t="s">
        <v>132</v>
      </c>
      <c r="B310" s="8">
        <f>F10</f>
        <v>0</v>
      </c>
    </row>
    <row r="311">
      <c r="A311" s="51"/>
      <c r="B311" s="51"/>
    </row>
    <row r="312">
      <c r="A312" s="49" t="s">
        <v>138</v>
      </c>
      <c r="B312" s="58" t="s">
        <v>139</v>
      </c>
      <c r="C312" s="58" t="s">
        <v>140</v>
      </c>
      <c r="D312" s="51" t="s">
        <v>141</v>
      </c>
    </row>
    <row r="313">
      <c r="A313" s="59" t="s">
        <v>142</v>
      </c>
      <c r="B313" s="55">
        <f>$C$10*(7-0)/7</f>
        <v>45.5</v>
      </c>
      <c r="C313" s="55">
        <f>$C$10</f>
        <v>45.5</v>
      </c>
      <c r="D313" s="51">
        <v>0.0</v>
      </c>
    </row>
    <row r="314">
      <c r="A314" s="60">
        <f>$B$308+0</f>
        <v>46286</v>
      </c>
      <c r="B314" s="55">
        <f>$C$10*(7-1)/7</f>
        <v>39</v>
      </c>
      <c r="C314" s="55">
        <f>IF(OR(A314&gt;TODAY(),COUNTIFS('Dados do Burndown'!E2:E780,7,'Dados do Burndown'!B2:B780,"&gt;0",'Dados do Burndown'!C2:C780,TRUE,'Dados do Burndown'!D2:D780,"",'Dados do Burndown'!F2:F780,"")+COUNTIFS('Dados do Burndown'!E2:E780,7,'Dados do Burndown'!B2:B780,"&gt;0",'Dados do Burndown'!C2:C780,TRUE,'Dados do Burndown'!D2:D780,"",'Dados do Burndown'!F2:F780,7)&gt;0),"",MAX(0,$B$10-SUMIFS('Dados do Burndown'!B2:B780,'Dados do Burndown'!E2:E780,7,'Dados do Burndown'!C2:C780,TRUE,'Dados do Burndown'!D2:D780,"&gt;0",'Dados do Burndown'!D2:D780,"&lt;="&amp;A314)-SUMIFS('Dados do Burndown'!B2:B780,'Dados do Burndown'!E2:E780,7,'Dados do Burndown'!C2:C780,TRUE,'Dados do Burndown'!D2:D780,"",'Dados do Burndown'!F2:F780,"&gt;0",'Dados do Burndown'!F2:F780,"&lt;"&amp;7)))</f>
        <v>45.5</v>
      </c>
      <c r="D314" s="51">
        <v>1.0</v>
      </c>
    </row>
    <row r="315">
      <c r="A315" s="60">
        <f>$B$308+1</f>
        <v>46287</v>
      </c>
      <c r="B315" s="55">
        <f>$C$10*(7-2)/7</f>
        <v>32.5</v>
      </c>
      <c r="C315" s="55">
        <f>IF(OR(A315&gt;TODAY(),COUNTIFS('Dados do Burndown'!E2:E780,7,'Dados do Burndown'!B2:B780,"&gt;0",'Dados do Burndown'!C2:C780,TRUE,'Dados do Burndown'!D2:D780,"",'Dados do Burndown'!F2:F780,"")+COUNTIFS('Dados do Burndown'!E2:E780,7,'Dados do Burndown'!B2:B780,"&gt;0",'Dados do Burndown'!C2:C780,TRUE,'Dados do Burndown'!D2:D780,"",'Dados do Burndown'!F2:F780,7)&gt;0),"",MAX(0,$B$10-SUMIFS('Dados do Burndown'!B2:B780,'Dados do Burndown'!E2:E780,7,'Dados do Burndown'!C2:C780,TRUE,'Dados do Burndown'!D2:D780,"&gt;0",'Dados do Burndown'!D2:D780,"&lt;="&amp;A315)-SUMIFS('Dados do Burndown'!B2:B780,'Dados do Burndown'!E2:E780,7,'Dados do Burndown'!C2:C780,TRUE,'Dados do Burndown'!D2:D780,"",'Dados do Burndown'!F2:F780,"&gt;0",'Dados do Burndown'!F2:F780,"&lt;"&amp;7)))</f>
        <v>45.5</v>
      </c>
      <c r="D315" s="51">
        <v>2.0</v>
      </c>
    </row>
    <row r="316">
      <c r="A316" s="60">
        <f>$B$308+2</f>
        <v>46288</v>
      </c>
      <c r="B316" s="55">
        <f>$C$10*(7-3)/7</f>
        <v>26</v>
      </c>
      <c r="C316" s="55">
        <f>IF(OR(A316&gt;TODAY(),COUNTIFS('Dados do Burndown'!E2:E780,7,'Dados do Burndown'!B2:B780,"&gt;0",'Dados do Burndown'!C2:C780,TRUE,'Dados do Burndown'!D2:D780,"",'Dados do Burndown'!F2:F780,"")+COUNTIFS('Dados do Burndown'!E2:E780,7,'Dados do Burndown'!B2:B780,"&gt;0",'Dados do Burndown'!C2:C780,TRUE,'Dados do Burndown'!D2:D780,"",'Dados do Burndown'!F2:F780,7)&gt;0),"",MAX(0,$B$10-SUMIFS('Dados do Burndown'!B2:B780,'Dados do Burndown'!E2:E780,7,'Dados do Burndown'!C2:C780,TRUE,'Dados do Burndown'!D2:D780,"&gt;0",'Dados do Burndown'!D2:D780,"&lt;="&amp;A316)-SUMIFS('Dados do Burndown'!B2:B780,'Dados do Burndown'!E2:E780,7,'Dados do Burndown'!C2:C780,TRUE,'Dados do Burndown'!D2:D780,"",'Dados do Burndown'!F2:F780,"&gt;0",'Dados do Burndown'!F2:F780,"&lt;"&amp;7)))</f>
        <v>45.5</v>
      </c>
      <c r="D316" s="51">
        <v>3.0</v>
      </c>
    </row>
    <row r="317">
      <c r="A317" s="60">
        <f>$B$308+3</f>
        <v>46289</v>
      </c>
      <c r="B317" s="55">
        <f>$C$10*(7-4)/7</f>
        <v>19.5</v>
      </c>
      <c r="C317" s="55">
        <f>IF(OR(A317&gt;TODAY(),COUNTIFS('Dados do Burndown'!E2:E780,7,'Dados do Burndown'!B2:B780,"&gt;0",'Dados do Burndown'!C2:C780,TRUE,'Dados do Burndown'!D2:D780,"",'Dados do Burndown'!F2:F780,"")+COUNTIFS('Dados do Burndown'!E2:E780,7,'Dados do Burndown'!B2:B780,"&gt;0",'Dados do Burndown'!C2:C780,TRUE,'Dados do Burndown'!D2:D780,"",'Dados do Burndown'!F2:F780,7)&gt;0),"",MAX(0,$B$10-SUMIFS('Dados do Burndown'!B2:B780,'Dados do Burndown'!E2:E780,7,'Dados do Burndown'!C2:C780,TRUE,'Dados do Burndown'!D2:D780,"&gt;0",'Dados do Burndown'!D2:D780,"&lt;="&amp;A317)-SUMIFS('Dados do Burndown'!B2:B780,'Dados do Burndown'!E2:E780,7,'Dados do Burndown'!C2:C780,TRUE,'Dados do Burndown'!D2:D780,"",'Dados do Burndown'!F2:F780,"&gt;0",'Dados do Burndown'!F2:F780,"&lt;"&amp;7)))</f>
        <v>40.5</v>
      </c>
      <c r="D317" s="51">
        <v>4.0</v>
      </c>
    </row>
    <row r="318">
      <c r="A318" s="60">
        <f>$B$308+4</f>
        <v>46290</v>
      </c>
      <c r="B318" s="55">
        <f>$C$10*(7-5)/7</f>
        <v>13</v>
      </c>
      <c r="C318" s="55">
        <f>IF(OR(A318&gt;TODAY(),COUNTIFS('Dados do Burndown'!E2:E780,7,'Dados do Burndown'!B2:B780,"&gt;0",'Dados do Burndown'!C2:C780,TRUE,'Dados do Burndown'!D2:D780,"",'Dados do Burndown'!F2:F780,"")+COUNTIFS('Dados do Burndown'!E2:E780,7,'Dados do Burndown'!B2:B780,"&gt;0",'Dados do Burndown'!C2:C780,TRUE,'Dados do Burndown'!D2:D780,"",'Dados do Burndown'!F2:F780,7)&gt;0),"",MAX(0,$B$10-SUMIFS('Dados do Burndown'!B2:B780,'Dados do Burndown'!E2:E780,7,'Dados do Burndown'!C2:C780,TRUE,'Dados do Burndown'!D2:D780,"&gt;0",'Dados do Burndown'!D2:D780,"&lt;="&amp;A318)-SUMIFS('Dados do Burndown'!B2:B780,'Dados do Burndown'!E2:E780,7,'Dados do Burndown'!C2:C780,TRUE,'Dados do Burndown'!D2:D780,"",'Dados do Burndown'!F2:F780,"&gt;0",'Dados do Burndown'!F2:F780,"&lt;"&amp;7)))</f>
        <v>35.5</v>
      </c>
      <c r="D318" s="51">
        <v>5.0</v>
      </c>
    </row>
    <row r="319">
      <c r="A319" s="60">
        <f>$B$308+5</f>
        <v>46291</v>
      </c>
      <c r="B319" s="55">
        <f>$C$10*(7-6)/7</f>
        <v>6.5</v>
      </c>
      <c r="C319" s="55">
        <f>IF(OR(A319&gt;TODAY(),COUNTIFS('Dados do Burndown'!E2:E780,7,'Dados do Burndown'!B2:B780,"&gt;0",'Dados do Burndown'!C2:C780,TRUE,'Dados do Burndown'!D2:D780,"",'Dados do Burndown'!F2:F780,"")+COUNTIFS('Dados do Burndown'!E2:E780,7,'Dados do Burndown'!B2:B780,"&gt;0",'Dados do Burndown'!C2:C780,TRUE,'Dados do Burndown'!D2:D780,"",'Dados do Burndown'!F2:F780,7)&gt;0),"",MAX(0,$B$10-SUMIFS('Dados do Burndown'!B2:B780,'Dados do Burndown'!E2:E780,7,'Dados do Burndown'!C2:C780,TRUE,'Dados do Burndown'!D2:D780,"&gt;0",'Dados do Burndown'!D2:D780,"&lt;="&amp;A319)-SUMIFS('Dados do Burndown'!B2:B780,'Dados do Burndown'!E2:E780,7,'Dados do Burndown'!C2:C780,TRUE,'Dados do Burndown'!D2:D780,"",'Dados do Burndown'!F2:F780,"&gt;0",'Dados do Burndown'!F2:F780,"&lt;"&amp;7)))</f>
        <v>18</v>
      </c>
      <c r="D319" s="51">
        <v>6.0</v>
      </c>
    </row>
    <row r="320">
      <c r="A320" s="60">
        <f>$B$308+6</f>
        <v>46292</v>
      </c>
      <c r="B320" s="55">
        <f>$C$10*(7-7)/7</f>
        <v>0</v>
      </c>
      <c r="C320" s="55">
        <f>IF(OR(A320&gt;TODAY(),COUNTIFS('Dados do Burndown'!E2:E780,7,'Dados do Burndown'!B2:B780,"&gt;0",'Dados do Burndown'!C2:C780,TRUE,'Dados do Burndown'!D2:D780,"",'Dados do Burndown'!F2:F780,"")&gt;0),"",MAX(0,$B$10-SUMIFS('Dados do Burndown'!B2:B780,'Dados do Burndown'!E2:E780,7,'Dados do Burndown'!C2:C780,TRUE,'Dados do Burndown'!D2:D780,"&gt;0",'Dados do Burndown'!D2:D780,"&lt;="&amp;A320)-SUMIFS('Dados do Burndown'!B2:B780,'Dados do Burndown'!E2:E780,7,'Dados do Burndown'!C2:C780,TRUE,'Dados do Burndown'!D2:D780,"",'Dados do Burndown'!F2:F780,"&gt;0",'Dados do Burndown'!F2:F780,"&lt;="&amp;7)))</f>
        <v>18</v>
      </c>
      <c r="D320" s="51">
        <v>7.0</v>
      </c>
    </row>
    <row r="322" ht="24.0" customHeight="1">
      <c r="A322" s="61"/>
    </row>
    <row r="323" ht="24.0" customHeight="1"/>
    <row r="326" ht="25.5" customHeight="1">
      <c r="A326" s="62" t="s">
        <v>143</v>
      </c>
      <c r="E326" s="63" t="s">
        <v>144</v>
      </c>
    </row>
    <row r="327">
      <c r="A327" s="64" t="str">
        <f>IFERROR(__xludf.DUMMYFUNCTION("IFNA(TEXTJOIN(CHAR(10),TRUE,FILTER('Dados do Burndown'!A2:A780,'Dados do Burndown'!A2:A780&lt;&gt;"""",'Dados do Burndown'!E2:E780=7)),""Nenhuma tarefa planejada"")"),"1.1.3 Objeto (Peão) 3D
1.2.2.1 Componente do Tabuleiro com Jogadores
1.2.2.2 Componentes das Peças
1.2.2.3 Componente do Relógio
1.6.1 Layout da Página de Cadastro
1.6.2 Formulário de Cadastro
1.6.3 Lógica de Cadastro
1.7.1 Layout da Página de Login
1.7.2"&amp;" Formulário de Login
2.1.1.1 Regras do Peão
2.1.1.2 Regras da Torre
2.1.1.3 Regras do Cavalo
2.1.1.4 Regras do Bispo
2.1.1.5 Regras do Rei
2.1.1.6 Regras da Rainha
2.1.3 Captura de peças
4.2.1.7 Reunião Semanal 7")</f>
        <v>1.1.3 Objeto (Peão) 3D
1.2.2.1 Componente do Tabuleiro com Jogadores
1.2.2.2 Componentes das Peças
1.2.2.3 Componente do Relógio
1.6.1 Layout da Página de Cadastro
1.6.2 Formulário de Cadastro
1.6.3 Lógica de Cadastro
1.7.1 Layout da Página de Login
1.7.2 Formulário de Login
2.1.1.1 Regras do Peão
2.1.1.2 Regras da Torre
2.1.1.3 Regras do Cavalo
2.1.1.4 Regras do Bispo
2.1.1.5 Regras do Rei
2.1.1.6 Regras da Rainha
2.1.3 Captura de peças
4.2.1.7 Reunião Semanal 7</v>
      </c>
      <c r="E327" s="64" t="str">
        <f>IFERROR(__xludf.DUMMYFUNCTION("IFNA(TEXTJOIN(CHAR(10),TRUE,FILTER('Dados do Burndown'!A2:A780,'Dados do Burndown'!A2:A780&lt;&gt;"""",'Dados do Burndown'!E2:E780=7,'Dados do Burndown'!C2:C780=TRUE,((('Dados do Burndown'!D2:D780&lt;=$B$309)*('Dados do Burndown'!D2:D780&gt;0))+(('Dados do Burndown'!"&amp;"D2:D780="""")*('Dados do Burndown'!F2:F780&gt;0)*('Dados do Burndown'!F2:F780&lt;=7)))&gt;0)),""Nenhuma tarefa do escopo concluída"")"),"1.1.3 Objeto (Peão) 3D
1.2.2.1 Componente do Tabuleiro com Jogadores
1.2.2.2 Componentes das Peças
4.2.1.7 Reunião Semanal 7")</f>
        <v>1.1.3 Objeto (Peão) 3D
1.2.2.1 Componente do Tabuleiro com Jogadores
1.2.2.2 Componentes das Peças
4.2.1.7 Reunião Semanal 7</v>
      </c>
    </row>
    <row r="352">
      <c r="A352" s="57" t="s">
        <v>151</v>
      </c>
    </row>
    <row r="353">
      <c r="A353" s="51" t="s">
        <v>135</v>
      </c>
      <c r="B353" s="55">
        <f>B11</f>
        <v>67.5</v>
      </c>
    </row>
    <row r="354">
      <c r="A354" s="51" t="s">
        <v>131</v>
      </c>
      <c r="B354" s="8" t="str">
        <f>E11</f>
        <v>Há esforço pendente</v>
      </c>
    </row>
    <row r="355">
      <c r="A355" s="51" t="s">
        <v>136</v>
      </c>
      <c r="B355" s="9">
        <f>'Dados do Burndown'!R9</f>
        <v>46293</v>
      </c>
    </row>
    <row r="356">
      <c r="A356" s="51" t="s">
        <v>137</v>
      </c>
      <c r="B356" s="9">
        <f>B355+6</f>
        <v>46299</v>
      </c>
      <c r="C356" s="51"/>
    </row>
    <row r="357">
      <c r="A357" s="51" t="s">
        <v>132</v>
      </c>
      <c r="B357" s="8">
        <f>F11</f>
        <v>0</v>
      </c>
    </row>
    <row r="358">
      <c r="A358" s="51"/>
      <c r="B358" s="51"/>
    </row>
    <row r="359">
      <c r="A359" s="49" t="s">
        <v>138</v>
      </c>
      <c r="B359" s="58" t="s">
        <v>139</v>
      </c>
      <c r="C359" s="58" t="s">
        <v>140</v>
      </c>
      <c r="D359" s="51" t="s">
        <v>141</v>
      </c>
    </row>
    <row r="360">
      <c r="A360" s="59" t="s">
        <v>142</v>
      </c>
      <c r="B360" s="55">
        <f>$C$11*(7-0)/7</f>
        <v>67.5</v>
      </c>
      <c r="C360" s="55">
        <f>$C$11</f>
        <v>67.5</v>
      </c>
      <c r="D360" s="51">
        <v>0.0</v>
      </c>
    </row>
    <row r="361">
      <c r="A361" s="60">
        <f>$B$355+0</f>
        <v>46293</v>
      </c>
      <c r="B361" s="55">
        <f>$C$11*(7-1)/7</f>
        <v>57.85714286</v>
      </c>
      <c r="C361" s="55">
        <f>IF(OR(A361&gt;TODAY(),COUNTIFS('Dados do Burndown'!E2:E780,8,'Dados do Burndown'!B2:B780,"&gt;0",'Dados do Burndown'!C2:C780,TRUE,'Dados do Burndown'!D2:D780,"",'Dados do Burndown'!F2:F780,"")+COUNTIFS('Dados do Burndown'!E2:E780,8,'Dados do Burndown'!B2:B780,"&gt;0",'Dados do Burndown'!C2:C780,TRUE,'Dados do Burndown'!D2:D780,"",'Dados do Burndown'!F2:F780,8)&gt;0),"",MAX(0,$B$11-SUMIFS('Dados do Burndown'!B2:B780,'Dados do Burndown'!E2:E780,8,'Dados do Burndown'!C2:C780,TRUE,'Dados do Burndown'!D2:D780,"&gt;0",'Dados do Burndown'!D2:D780,"&lt;="&amp;A361)-SUMIFS('Dados do Burndown'!B2:B780,'Dados do Burndown'!E2:E780,8,'Dados do Burndown'!C2:C780,TRUE,'Dados do Burndown'!D2:D780,"",'Dados do Burndown'!F2:F780,"&gt;0",'Dados do Burndown'!F2:F780,"&lt;"&amp;8)))</f>
        <v>67.5</v>
      </c>
      <c r="D361" s="51">
        <v>1.0</v>
      </c>
    </row>
    <row r="362">
      <c r="A362" s="60">
        <f>$B$355+1</f>
        <v>46294</v>
      </c>
      <c r="B362" s="55">
        <f>$C$11*(7-2)/7</f>
        <v>48.21428571</v>
      </c>
      <c r="C362" s="55">
        <f>IF(OR(A362&gt;TODAY(),COUNTIFS('Dados do Burndown'!E2:E780,8,'Dados do Burndown'!B2:B780,"&gt;0",'Dados do Burndown'!C2:C780,TRUE,'Dados do Burndown'!D2:D780,"",'Dados do Burndown'!F2:F780,"")+COUNTIFS('Dados do Burndown'!E2:E780,8,'Dados do Burndown'!B2:B780,"&gt;0",'Dados do Burndown'!C2:C780,TRUE,'Dados do Burndown'!D2:D780,"",'Dados do Burndown'!F2:F780,8)&gt;0),"",MAX(0,$B$11-SUMIFS('Dados do Burndown'!B2:B780,'Dados do Burndown'!E2:E780,8,'Dados do Burndown'!C2:C780,TRUE,'Dados do Burndown'!D2:D780,"&gt;0",'Dados do Burndown'!D2:D780,"&lt;="&amp;A362)-SUMIFS('Dados do Burndown'!B2:B780,'Dados do Burndown'!E2:E780,8,'Dados do Burndown'!C2:C780,TRUE,'Dados do Burndown'!D2:D780,"",'Dados do Burndown'!F2:F780,"&gt;0",'Dados do Burndown'!F2:F780,"&lt;"&amp;8)))</f>
        <v>67.5</v>
      </c>
      <c r="D362" s="51">
        <v>2.0</v>
      </c>
    </row>
    <row r="363">
      <c r="A363" s="60">
        <f>$B$355+2</f>
        <v>46295</v>
      </c>
      <c r="B363" s="55">
        <f>$C$11*(7-3)/7</f>
        <v>38.57142857</v>
      </c>
      <c r="C363" s="55">
        <f>IF(OR(A363&gt;TODAY(),COUNTIFS('Dados do Burndown'!E2:E780,8,'Dados do Burndown'!B2:B780,"&gt;0",'Dados do Burndown'!C2:C780,TRUE,'Dados do Burndown'!D2:D780,"",'Dados do Burndown'!F2:F780,"")+COUNTIFS('Dados do Burndown'!E2:E780,8,'Dados do Burndown'!B2:B780,"&gt;0",'Dados do Burndown'!C2:C780,TRUE,'Dados do Burndown'!D2:D780,"",'Dados do Burndown'!F2:F780,8)&gt;0),"",MAX(0,$B$11-SUMIFS('Dados do Burndown'!B2:B780,'Dados do Burndown'!E2:E780,8,'Dados do Burndown'!C2:C780,TRUE,'Dados do Burndown'!D2:D780,"&gt;0",'Dados do Burndown'!D2:D780,"&lt;="&amp;A363)-SUMIFS('Dados do Burndown'!B2:B780,'Dados do Burndown'!E2:E780,8,'Dados do Burndown'!C2:C780,TRUE,'Dados do Burndown'!D2:D780,"",'Dados do Burndown'!F2:F780,"&gt;0",'Dados do Burndown'!F2:F780,"&lt;"&amp;8)))</f>
        <v>67.5</v>
      </c>
      <c r="D363" s="51">
        <v>3.0</v>
      </c>
    </row>
    <row r="364">
      <c r="A364" s="60">
        <f>$B$355+3</f>
        <v>46296</v>
      </c>
      <c r="B364" s="55">
        <f>$C$11*(7-4)/7</f>
        <v>28.92857143</v>
      </c>
      <c r="C364" s="55">
        <f>IF(OR(A364&gt;TODAY(),COUNTIFS('Dados do Burndown'!E2:E780,8,'Dados do Burndown'!B2:B780,"&gt;0",'Dados do Burndown'!C2:C780,TRUE,'Dados do Burndown'!D2:D780,"",'Dados do Burndown'!F2:F780,"")+COUNTIFS('Dados do Burndown'!E2:E780,8,'Dados do Burndown'!B2:B780,"&gt;0",'Dados do Burndown'!C2:C780,TRUE,'Dados do Burndown'!D2:D780,"",'Dados do Burndown'!F2:F780,8)&gt;0),"",MAX(0,$B$11-SUMIFS('Dados do Burndown'!B2:B780,'Dados do Burndown'!E2:E780,8,'Dados do Burndown'!C2:C780,TRUE,'Dados do Burndown'!D2:D780,"&gt;0",'Dados do Burndown'!D2:D780,"&lt;="&amp;A364)-SUMIFS('Dados do Burndown'!B2:B780,'Dados do Burndown'!E2:E780,8,'Dados do Burndown'!C2:C780,TRUE,'Dados do Burndown'!D2:D780,"",'Dados do Burndown'!F2:F780,"&gt;0",'Dados do Burndown'!F2:F780,"&lt;"&amp;8)))</f>
        <v>65.5</v>
      </c>
      <c r="D364" s="51">
        <v>4.0</v>
      </c>
    </row>
    <row r="365">
      <c r="A365" s="60">
        <f>$B$355+4</f>
        <v>46297</v>
      </c>
      <c r="B365" s="55">
        <f>$C$11*(7-5)/7</f>
        <v>19.28571429</v>
      </c>
      <c r="C365" s="55">
        <f>IF(OR(A365&gt;TODAY(),COUNTIFS('Dados do Burndown'!E2:E780,8,'Dados do Burndown'!B2:B780,"&gt;0",'Dados do Burndown'!C2:C780,TRUE,'Dados do Burndown'!D2:D780,"",'Dados do Burndown'!F2:F780,"")+COUNTIFS('Dados do Burndown'!E2:E780,8,'Dados do Burndown'!B2:B780,"&gt;0",'Dados do Burndown'!C2:C780,TRUE,'Dados do Burndown'!D2:D780,"",'Dados do Burndown'!F2:F780,8)&gt;0),"",MAX(0,$B$11-SUMIFS('Dados do Burndown'!B2:B780,'Dados do Burndown'!E2:E780,8,'Dados do Burndown'!C2:C780,TRUE,'Dados do Burndown'!D2:D780,"&gt;0",'Dados do Burndown'!D2:D780,"&lt;="&amp;A365)-SUMIFS('Dados do Burndown'!B2:B780,'Dados do Burndown'!E2:E780,8,'Dados do Burndown'!C2:C780,TRUE,'Dados do Burndown'!D2:D780,"",'Dados do Burndown'!F2:F780,"&gt;0",'Dados do Burndown'!F2:F780,"&lt;"&amp;8)))</f>
        <v>65.5</v>
      </c>
      <c r="D365" s="51">
        <v>5.0</v>
      </c>
    </row>
    <row r="366">
      <c r="A366" s="60">
        <f>$B$355+5</f>
        <v>46298</v>
      </c>
      <c r="B366" s="55">
        <f>$C$11*(7-6)/7</f>
        <v>9.642857143</v>
      </c>
      <c r="C366" s="55">
        <f>IF(OR(A366&gt;TODAY(),COUNTIFS('Dados do Burndown'!E2:E780,8,'Dados do Burndown'!B2:B780,"&gt;0",'Dados do Burndown'!C2:C780,TRUE,'Dados do Burndown'!D2:D780,"",'Dados do Burndown'!F2:F780,"")+COUNTIFS('Dados do Burndown'!E2:E780,8,'Dados do Burndown'!B2:B780,"&gt;0",'Dados do Burndown'!C2:C780,TRUE,'Dados do Burndown'!D2:D780,"",'Dados do Burndown'!F2:F780,8)&gt;0),"",MAX(0,$B$11-SUMIFS('Dados do Burndown'!B2:B780,'Dados do Burndown'!E2:E780,8,'Dados do Burndown'!C2:C780,TRUE,'Dados do Burndown'!D2:D780,"&gt;0",'Dados do Burndown'!D2:D780,"&lt;="&amp;A366)-SUMIFS('Dados do Burndown'!B2:B780,'Dados do Burndown'!E2:E780,8,'Dados do Burndown'!C2:C780,TRUE,'Dados do Burndown'!D2:D780,"",'Dados do Burndown'!F2:F780,"&gt;0",'Dados do Burndown'!F2:F780,"&lt;"&amp;8)))</f>
        <v>22</v>
      </c>
      <c r="D366" s="51">
        <v>6.0</v>
      </c>
    </row>
    <row r="367">
      <c r="A367" s="60">
        <f>$B$355+6</f>
        <v>46299</v>
      </c>
      <c r="B367" s="55">
        <f>$C$11*(7-7)/7</f>
        <v>0</v>
      </c>
      <c r="C367" s="55">
        <f>IF(OR(A367&gt;TODAY(),COUNTIFS('Dados do Burndown'!E2:E780,8,'Dados do Burndown'!B2:B780,"&gt;0",'Dados do Burndown'!C2:C780,TRUE,'Dados do Burndown'!D2:D780,"",'Dados do Burndown'!F2:F780,"")&gt;0),"",MAX(0,$B$11-SUMIFS('Dados do Burndown'!B2:B780,'Dados do Burndown'!E2:E780,8,'Dados do Burndown'!C2:C780,TRUE,'Dados do Burndown'!D2:D780,"&gt;0",'Dados do Burndown'!D2:D780,"&lt;="&amp;A367)-SUMIFS('Dados do Burndown'!B2:B780,'Dados do Burndown'!E2:E780,8,'Dados do Burndown'!C2:C780,TRUE,'Dados do Burndown'!D2:D780,"",'Dados do Burndown'!F2:F780,"&gt;0",'Dados do Burndown'!F2:F780,"&lt;="&amp;8)))</f>
        <v>22</v>
      </c>
      <c r="D367" s="51">
        <v>7.0</v>
      </c>
    </row>
    <row r="369" ht="24.0" customHeight="1">
      <c r="A369" s="61"/>
    </row>
    <row r="370" ht="24.0" customHeight="1"/>
    <row r="373" ht="25.5" customHeight="1">
      <c r="A373" s="62" t="s">
        <v>143</v>
      </c>
      <c r="E373" s="63" t="s">
        <v>144</v>
      </c>
    </row>
    <row r="374">
      <c r="A374" s="64" t="str">
        <f>IFERROR(__xludf.DUMMYFUNCTION("IFNA(TEXTJOIN(CHAR(10),TRUE,FILTER('Dados do Burndown'!A2:A780,'Dados do Burndown'!A2:A780&lt;&gt;"""",'Dados do Burndown'!E2:E780=8)),""Nenhuma tarefa planejada"")"),"1.2.2.4 Componente do Histórico de Jogadas
1.3.1 Layout da Página de Opções
1.3.2 Componente com Controle de Volume
1.7.3 Lógica de Login
2.1.2.1 Lógica Roque
2.1.2.2 Lógica En Passant
2.1.2.3 Lógica Promoção do Peão
2.1.4 Cálculo de jogadas permitidas
2."&amp;"4.1 Testes de Movimento
3.1.1 Função de Avaliação
3.1.2 Busca (Alpha-Beta)
3.2.3 Critérios de Avaliação
3.3.2 Testes da função de avaliação
4.2.1.8 Reunião Semanal 8")</f>
        <v>1.2.2.4 Componente do Histórico de Jogadas
1.3.1 Layout da Página de Opções
1.3.2 Componente com Controle de Volume
1.7.3 Lógica de Login
2.1.2.1 Lógica Roque
2.1.2.2 Lógica En Passant
2.1.2.3 Lógica Promoção do Peão
2.1.4 Cálculo de jogadas permitidas
2.4.1 Testes de Movimento
3.1.1 Função de Avaliação
3.1.2 Busca (Alpha-Beta)
3.2.3 Critérios de Avaliação
3.3.2 Testes da função de avaliação
4.2.1.8 Reunião Semanal 8</v>
      </c>
      <c r="E374" s="64" t="str">
        <f>IFERROR(__xludf.DUMMYFUNCTION("IFNA(TEXTJOIN(CHAR(10),TRUE,FILTER('Dados do Burndown'!A2:A780,'Dados do Burndown'!A2:A780&lt;&gt;"""",'Dados do Burndown'!E2:E780=8,'Dados do Burndown'!C2:C780=TRUE,((('Dados do Burndown'!D2:D780&lt;=$B$356)*('Dados do Burndown'!D2:D780&gt;0))+(('Dados do Burndown'!"&amp;"D2:D780="""")*('Dados do Burndown'!F2:F780&gt;0)*('Dados do Burndown'!F2:F780&lt;=8)))&gt;0)),""Nenhuma tarefa do escopo concluída"")"),"1.2.2.4 Componente do Histórico de Jogadas
1.7.3 Lógica de Login
2.1.4 Cálculo de jogadas permitidas
3.1.1 Função de Avaliação
3.1.2 Busca (Alpha-Beta)
3.2.3 Critérios de Avaliação
4.2.1.8 Reunião Semanal 8")</f>
        <v>1.2.2.4 Componente do Histórico de Jogadas
1.7.3 Lógica de Login
2.1.4 Cálculo de jogadas permitidas
3.1.1 Função de Avaliação
3.1.2 Busca (Alpha-Beta)
3.2.3 Critérios de Avaliação
4.2.1.8 Reunião Semanal 8</v>
      </c>
    </row>
    <row r="399">
      <c r="A399" s="57" t="s">
        <v>152</v>
      </c>
    </row>
    <row r="400">
      <c r="A400" s="51" t="s">
        <v>135</v>
      </c>
      <c r="B400" s="55">
        <f>B12</f>
        <v>51.5</v>
      </c>
    </row>
    <row r="401">
      <c r="A401" s="51" t="s">
        <v>131</v>
      </c>
      <c r="B401" s="8" t="str">
        <f>E12</f>
        <v>Futura</v>
      </c>
    </row>
    <row r="402">
      <c r="A402" s="51" t="s">
        <v>136</v>
      </c>
      <c r="B402" s="9">
        <f>'Dados do Burndown'!R10</f>
        <v>46300</v>
      </c>
    </row>
    <row r="403">
      <c r="A403" s="51" t="s">
        <v>137</v>
      </c>
      <c r="B403" s="9">
        <f>B402+6</f>
        <v>46306</v>
      </c>
      <c r="C403" s="51"/>
    </row>
    <row r="404">
      <c r="A404" s="51" t="s">
        <v>132</v>
      </c>
      <c r="B404" s="8">
        <f>F12</f>
        <v>0</v>
      </c>
    </row>
    <row r="405">
      <c r="A405" s="51"/>
      <c r="B405" s="51"/>
    </row>
    <row r="406">
      <c r="A406" s="49" t="s">
        <v>138</v>
      </c>
      <c r="B406" s="58" t="s">
        <v>139</v>
      </c>
      <c r="C406" s="58" t="s">
        <v>140</v>
      </c>
      <c r="D406" s="51" t="s">
        <v>141</v>
      </c>
    </row>
    <row r="407">
      <c r="A407" s="59" t="s">
        <v>142</v>
      </c>
      <c r="B407" s="55">
        <f>$C$12*(7-0)/7</f>
        <v>28</v>
      </c>
      <c r="C407" s="55">
        <f>$C$12</f>
        <v>28</v>
      </c>
      <c r="D407" s="51">
        <v>0.0</v>
      </c>
    </row>
    <row r="408">
      <c r="A408" s="60">
        <f>$B$402+0</f>
        <v>46300</v>
      </c>
      <c r="B408" s="55">
        <f>$C$12*(7-1)/7</f>
        <v>24</v>
      </c>
      <c r="C408" s="55" t="str">
        <f>IF(OR(A408&gt;TODAY(),COUNTIFS('Dados do Burndown'!E2:E780,9,'Dados do Burndown'!B2:B780,"&gt;0",'Dados do Burndown'!C2:C780,TRUE,'Dados do Burndown'!D2:D780,"",'Dados do Burndown'!F2:F780,"")+COUNTIFS('Dados do Burndown'!E2:E780,9,'Dados do Burndown'!B2:B780,"&gt;0",'Dados do Burndown'!C2:C780,TRUE,'Dados do Burndown'!D2:D780,"",'Dados do Burndown'!F2:F780,9)&gt;0),"",MAX(0,$B$12-SUMIFS('Dados do Burndown'!B2:B780,'Dados do Burndown'!E2:E780,9,'Dados do Burndown'!C2:C780,TRUE,'Dados do Burndown'!D2:D780,"&gt;0",'Dados do Burndown'!D2:D780,"&lt;="&amp;A408)-SUMIFS('Dados do Burndown'!B2:B780,'Dados do Burndown'!E2:E780,9,'Dados do Burndown'!C2:C780,TRUE,'Dados do Burndown'!D2:D780,"",'Dados do Burndown'!F2:F780,"&gt;0",'Dados do Burndown'!F2:F780,"&lt;"&amp;9)))</f>
        <v/>
      </c>
      <c r="D408" s="51">
        <v>1.0</v>
      </c>
    </row>
    <row r="409">
      <c r="A409" s="60">
        <f>$B$402+1</f>
        <v>46301</v>
      </c>
      <c r="B409" s="55">
        <f>$C$12*(7-2)/7</f>
        <v>20</v>
      </c>
      <c r="C409" s="55" t="str">
        <f>IF(OR(A409&gt;TODAY(),COUNTIFS('Dados do Burndown'!E2:E780,9,'Dados do Burndown'!B2:B780,"&gt;0",'Dados do Burndown'!C2:C780,TRUE,'Dados do Burndown'!D2:D780,"",'Dados do Burndown'!F2:F780,"")+COUNTIFS('Dados do Burndown'!E2:E780,9,'Dados do Burndown'!B2:B780,"&gt;0",'Dados do Burndown'!C2:C780,TRUE,'Dados do Burndown'!D2:D780,"",'Dados do Burndown'!F2:F780,9)&gt;0),"",MAX(0,$B$12-SUMIFS('Dados do Burndown'!B2:B780,'Dados do Burndown'!E2:E780,9,'Dados do Burndown'!C2:C780,TRUE,'Dados do Burndown'!D2:D780,"&gt;0",'Dados do Burndown'!D2:D780,"&lt;="&amp;A409)-SUMIFS('Dados do Burndown'!B2:B780,'Dados do Burndown'!E2:E780,9,'Dados do Burndown'!C2:C780,TRUE,'Dados do Burndown'!D2:D780,"",'Dados do Burndown'!F2:F780,"&gt;0",'Dados do Burndown'!F2:F780,"&lt;"&amp;9)))</f>
        <v/>
      </c>
      <c r="D409" s="51">
        <v>2.0</v>
      </c>
    </row>
    <row r="410">
      <c r="A410" s="60">
        <f>$B$402+2</f>
        <v>46302</v>
      </c>
      <c r="B410" s="55">
        <f>$C$12*(7-3)/7</f>
        <v>16</v>
      </c>
      <c r="C410" s="55" t="str">
        <f>IF(OR(A410&gt;TODAY(),COUNTIFS('Dados do Burndown'!E2:E780,9,'Dados do Burndown'!B2:B780,"&gt;0",'Dados do Burndown'!C2:C780,TRUE,'Dados do Burndown'!D2:D780,"",'Dados do Burndown'!F2:F780,"")+COUNTIFS('Dados do Burndown'!E2:E780,9,'Dados do Burndown'!B2:B780,"&gt;0",'Dados do Burndown'!C2:C780,TRUE,'Dados do Burndown'!D2:D780,"",'Dados do Burndown'!F2:F780,9)&gt;0),"",MAX(0,$B$12-SUMIFS('Dados do Burndown'!B2:B780,'Dados do Burndown'!E2:E780,9,'Dados do Burndown'!C2:C780,TRUE,'Dados do Burndown'!D2:D780,"&gt;0",'Dados do Burndown'!D2:D780,"&lt;="&amp;A410)-SUMIFS('Dados do Burndown'!B2:B780,'Dados do Burndown'!E2:E780,9,'Dados do Burndown'!C2:C780,TRUE,'Dados do Burndown'!D2:D780,"",'Dados do Burndown'!F2:F780,"&gt;0",'Dados do Burndown'!F2:F780,"&lt;"&amp;9)))</f>
        <v/>
      </c>
      <c r="D410" s="51">
        <v>3.0</v>
      </c>
    </row>
    <row r="411">
      <c r="A411" s="60">
        <f>$B$402+3</f>
        <v>46303</v>
      </c>
      <c r="B411" s="55">
        <f>$C$12*(7-4)/7</f>
        <v>12</v>
      </c>
      <c r="C411" s="55" t="str">
        <f>IF(OR(A411&gt;TODAY(),COUNTIFS('Dados do Burndown'!E2:E780,9,'Dados do Burndown'!B2:B780,"&gt;0",'Dados do Burndown'!C2:C780,TRUE,'Dados do Burndown'!D2:D780,"",'Dados do Burndown'!F2:F780,"")+COUNTIFS('Dados do Burndown'!E2:E780,9,'Dados do Burndown'!B2:B780,"&gt;0",'Dados do Burndown'!C2:C780,TRUE,'Dados do Burndown'!D2:D780,"",'Dados do Burndown'!F2:F780,9)&gt;0),"",MAX(0,$B$12-SUMIFS('Dados do Burndown'!B2:B780,'Dados do Burndown'!E2:E780,9,'Dados do Burndown'!C2:C780,TRUE,'Dados do Burndown'!D2:D780,"&gt;0",'Dados do Burndown'!D2:D780,"&lt;="&amp;A411)-SUMIFS('Dados do Burndown'!B2:B780,'Dados do Burndown'!E2:E780,9,'Dados do Burndown'!C2:C780,TRUE,'Dados do Burndown'!D2:D780,"",'Dados do Burndown'!F2:F780,"&gt;0",'Dados do Burndown'!F2:F780,"&lt;"&amp;9)))</f>
        <v/>
      </c>
      <c r="D411" s="51">
        <v>4.0</v>
      </c>
    </row>
    <row r="412">
      <c r="A412" s="60">
        <f>$B$402+4</f>
        <v>46304</v>
      </c>
      <c r="B412" s="55">
        <f>$C$12*(7-5)/7</f>
        <v>8</v>
      </c>
      <c r="C412" s="55" t="str">
        <f>IF(OR(A412&gt;TODAY(),COUNTIFS('Dados do Burndown'!E2:E780,9,'Dados do Burndown'!B2:B780,"&gt;0",'Dados do Burndown'!C2:C780,TRUE,'Dados do Burndown'!D2:D780,"",'Dados do Burndown'!F2:F780,"")+COUNTIFS('Dados do Burndown'!E2:E780,9,'Dados do Burndown'!B2:B780,"&gt;0",'Dados do Burndown'!C2:C780,TRUE,'Dados do Burndown'!D2:D780,"",'Dados do Burndown'!F2:F780,9)&gt;0),"",MAX(0,$B$12-SUMIFS('Dados do Burndown'!B2:B780,'Dados do Burndown'!E2:E780,9,'Dados do Burndown'!C2:C780,TRUE,'Dados do Burndown'!D2:D780,"&gt;0",'Dados do Burndown'!D2:D780,"&lt;="&amp;A412)-SUMIFS('Dados do Burndown'!B2:B780,'Dados do Burndown'!E2:E780,9,'Dados do Burndown'!C2:C780,TRUE,'Dados do Burndown'!D2:D780,"",'Dados do Burndown'!F2:F780,"&gt;0",'Dados do Burndown'!F2:F780,"&lt;"&amp;9)))</f>
        <v/>
      </c>
      <c r="D412" s="51">
        <v>5.0</v>
      </c>
    </row>
    <row r="413">
      <c r="A413" s="60">
        <f>$B$402+5</f>
        <v>46305</v>
      </c>
      <c r="B413" s="55">
        <f>$C$12*(7-6)/7</f>
        <v>4</v>
      </c>
      <c r="C413" s="55" t="str">
        <f>IF(OR(A413&gt;TODAY(),COUNTIFS('Dados do Burndown'!E2:E780,9,'Dados do Burndown'!B2:B780,"&gt;0",'Dados do Burndown'!C2:C780,TRUE,'Dados do Burndown'!D2:D780,"",'Dados do Burndown'!F2:F780,"")+COUNTIFS('Dados do Burndown'!E2:E780,9,'Dados do Burndown'!B2:B780,"&gt;0",'Dados do Burndown'!C2:C780,TRUE,'Dados do Burndown'!D2:D780,"",'Dados do Burndown'!F2:F780,9)&gt;0),"",MAX(0,$B$12-SUMIFS('Dados do Burndown'!B2:B780,'Dados do Burndown'!E2:E780,9,'Dados do Burndown'!C2:C780,TRUE,'Dados do Burndown'!D2:D780,"&gt;0",'Dados do Burndown'!D2:D780,"&lt;="&amp;A413)-SUMIFS('Dados do Burndown'!B2:B780,'Dados do Burndown'!E2:E780,9,'Dados do Burndown'!C2:C780,TRUE,'Dados do Burndown'!D2:D780,"",'Dados do Burndown'!F2:F780,"&gt;0",'Dados do Burndown'!F2:F780,"&lt;"&amp;9)))</f>
        <v/>
      </c>
      <c r="D413" s="51">
        <v>6.0</v>
      </c>
    </row>
    <row r="414">
      <c r="A414" s="60">
        <f>$B$402+6</f>
        <v>46306</v>
      </c>
      <c r="B414" s="55">
        <f>$C$12*(7-7)/7</f>
        <v>0</v>
      </c>
      <c r="C414" s="55" t="str">
        <f>IF(OR(A414&gt;TODAY(),COUNTIFS('Dados do Burndown'!E2:E780,9,'Dados do Burndown'!B2:B780,"&gt;0",'Dados do Burndown'!C2:C780,TRUE,'Dados do Burndown'!D2:D780,"",'Dados do Burndown'!F2:F780,"")&gt;0),"",MAX(0,$B$12-SUMIFS('Dados do Burndown'!B2:B780,'Dados do Burndown'!E2:E780,9,'Dados do Burndown'!C2:C780,TRUE,'Dados do Burndown'!D2:D780,"&gt;0",'Dados do Burndown'!D2:D780,"&lt;="&amp;A414)-SUMIFS('Dados do Burndown'!B2:B780,'Dados do Burndown'!E2:E780,9,'Dados do Burndown'!C2:C780,TRUE,'Dados do Burndown'!D2:D780,"",'Dados do Burndown'!F2:F780,"&gt;0",'Dados do Burndown'!F2:F780,"&lt;="&amp;9)))</f>
        <v/>
      </c>
      <c r="D414" s="51">
        <v>7.0</v>
      </c>
    </row>
    <row r="416" ht="24.0" customHeight="1">
      <c r="A416" s="61"/>
    </row>
    <row r="417" ht="24.0" customHeight="1"/>
    <row r="420" ht="25.5" customHeight="1">
      <c r="A420" s="62" t="s">
        <v>143</v>
      </c>
      <c r="E420" s="63" t="s">
        <v>144</v>
      </c>
    </row>
    <row r="421">
      <c r="A421" s="64" t="str">
        <f>IFERROR(__xludf.DUMMYFUNCTION("IFNA(TEXTJOIN(CHAR(10),TRUE,FILTER('Dados do Burndown'!A2:A780,'Dados do Burndown'!A2:A780&lt;&gt;"""",'Dados do Burndown'!E2:E780=9)),""Nenhuma tarefa planejada"")"),"1.2.2.5 Componente ""Pop-Up"" de Vitória/Derrota/Empate
1.2.3.1 Mecanismo de Pausa
1.2.3.2 Mecanismo de Desistência
1.3.4 Seletor de Oponente (Dificuldade)
1.5.1 Layout da Página de Perfil
1.5.2 Exibição do Histórico de Partidas
2.2.1 Armazenamento de jog"&amp;"adas
2.2.2 Criar tabuleiro e posições das peças
2.2.3 Controle do Turno
2.2.4 Armazenamento das peças disponíveis
3.1.3 Geração de Jogadas
3.2.1 Definição de Parâmetros por nível de dificuldade
3.2.2 Profundidade de busca
4.2.2.2 2º Apresentação
4.2.1.9 R"&amp;"eunião Semanal 9")</f>
        <v>1.2.2.5 Componente "Pop-Up" de Vitória/Derrota/Empate
1.2.3.1 Mecanismo de Pausa
1.2.3.2 Mecanismo de Desistência
1.3.4 Seletor de Oponente (Dificuldade)
1.5.1 Layout da Página de Perfil
1.5.2 Exibição do Histórico de Partidas
2.2.1 Armazenamento de jogadas
2.2.2 Criar tabuleiro e posições das peças
2.2.3 Controle do Turno
2.2.4 Armazenamento das peças disponíveis
3.1.3 Geração de Jogadas
3.2.1 Definição de Parâmetros por nível de dificuldade
3.2.2 Profundidade de busca
4.2.2.2 2º Apresentação
4.2.1.9 Reunião Semanal 9</v>
      </c>
      <c r="E421" s="64" t="str">
        <f>IFERROR(__xludf.DUMMYFUNCTION("IFNA(TEXTJOIN(CHAR(10),TRUE,FILTER('Dados do Burndown'!A2:A780,'Dados do Burndown'!A2:A780&lt;&gt;"""",'Dados do Burndown'!E2:E780=9,'Dados do Burndown'!C2:C780=TRUE,((('Dados do Burndown'!D2:D780&lt;=$B$403)*('Dados do Burndown'!D2:D780&gt;0))+(('Dados do Burndown'!"&amp;"D2:D780="""")*('Dados do Burndown'!F2:F780&gt;0)*('Dados do Burndown'!F2:F780&lt;=9)))&gt;0)),""Nenhuma tarefa do escopo concluída"")"),"1.2.2.5 Componente ""Pop-Up"" de Vitória/Derrota/Empate
1.2.3.1 Mecanismo de Pausa
1.2.3.2 Mecanismo de Desistência
1.3.4 Seletor de Oponente (Dificuldade)
1.5.1 Layout da Página de Perfil
1.5.2 Exibição do Histórico de Partidas
2.2.2 Criar tabuleiro e po"&amp;"sições das peças
2.2.3 Controle do Turno
3.1.3 Geração de Jogadas
3.2.2 Profundidade de busca")</f>
        <v>1.2.2.5 Componente "Pop-Up" de Vitória/Derrota/Empate
1.2.3.1 Mecanismo de Pausa
1.2.3.2 Mecanismo de Desistência
1.3.4 Seletor de Oponente (Dificuldade)
1.5.1 Layout da Página de Perfil
1.5.2 Exibição do Histórico de Partidas
2.2.2 Criar tabuleiro e posições das peças
2.2.3 Controle do Turno
3.1.3 Geração de Jogadas
3.2.2 Profundidade de busca</v>
      </c>
    </row>
    <row r="446">
      <c r="A446" s="57" t="s">
        <v>153</v>
      </c>
    </row>
    <row r="447">
      <c r="A447" s="51" t="s">
        <v>135</v>
      </c>
      <c r="B447" s="55">
        <f>B13</f>
        <v>57.5</v>
      </c>
    </row>
    <row r="448">
      <c r="A448" s="51" t="s">
        <v>131</v>
      </c>
      <c r="B448" s="8" t="str">
        <f>E13</f>
        <v>Futura</v>
      </c>
    </row>
    <row r="449">
      <c r="A449" s="51" t="s">
        <v>136</v>
      </c>
      <c r="B449" s="9">
        <f>'Dados do Burndown'!R11</f>
        <v>46307</v>
      </c>
    </row>
    <row r="450">
      <c r="A450" s="51" t="s">
        <v>137</v>
      </c>
      <c r="B450" s="9">
        <f>B449+6</f>
        <v>46313</v>
      </c>
      <c r="C450" s="51"/>
    </row>
    <row r="451">
      <c r="A451" s="51" t="s">
        <v>132</v>
      </c>
      <c r="B451" s="8">
        <f>F13</f>
        <v>0</v>
      </c>
    </row>
    <row r="452">
      <c r="A452" s="51"/>
      <c r="B452" s="51"/>
    </row>
    <row r="453">
      <c r="A453" s="49" t="s">
        <v>138</v>
      </c>
      <c r="B453" s="58" t="s">
        <v>139</v>
      </c>
      <c r="C453" s="58" t="s">
        <v>140</v>
      </c>
      <c r="D453" s="51" t="s">
        <v>141</v>
      </c>
    </row>
    <row r="454">
      <c r="A454" s="59" t="s">
        <v>142</v>
      </c>
      <c r="B454" s="55">
        <f>$C$13*(7-0)/7</f>
        <v>57.5</v>
      </c>
      <c r="C454" s="55">
        <f>$C$13</f>
        <v>57.5</v>
      </c>
      <c r="D454" s="51">
        <v>0.0</v>
      </c>
    </row>
    <row r="455">
      <c r="A455" s="60">
        <f>$B$449+0</f>
        <v>46307</v>
      </c>
      <c r="B455" s="55">
        <f>$C$13*(7-1)/7</f>
        <v>49.28571429</v>
      </c>
      <c r="C455" s="55" t="str">
        <f>IF(OR(A455&gt;TODAY(),COUNTIFS('Dados do Burndown'!E2:E780,10,'Dados do Burndown'!B2:B780,"&gt;0",'Dados do Burndown'!C2:C780,TRUE,'Dados do Burndown'!D2:D780,"",'Dados do Burndown'!F2:F780,"")+COUNTIFS('Dados do Burndown'!E2:E780,10,'Dados do Burndown'!B2:B780,"&gt;0",'Dados do Burndown'!C2:C780,TRUE,'Dados do Burndown'!D2:D780,"",'Dados do Burndown'!F2:F780,10)&gt;0),"",MAX(0,$B$13-SUMIFS('Dados do Burndown'!B2:B780,'Dados do Burndown'!E2:E780,10,'Dados do Burndown'!C2:C780,TRUE,'Dados do Burndown'!D2:D780,"&gt;0",'Dados do Burndown'!D2:D780,"&lt;="&amp;A455)-SUMIFS('Dados do Burndown'!B2:B780,'Dados do Burndown'!E2:E780,10,'Dados do Burndown'!C2:C780,TRUE,'Dados do Burndown'!D2:D780,"",'Dados do Burndown'!F2:F780,"&gt;0",'Dados do Burndown'!F2:F780,"&lt;"&amp;10)))</f>
        <v/>
      </c>
      <c r="D455" s="51">
        <v>1.0</v>
      </c>
    </row>
    <row r="456">
      <c r="A456" s="60">
        <f>$B$449+1</f>
        <v>46308</v>
      </c>
      <c r="B456" s="55">
        <f>$C$13*(7-2)/7</f>
        <v>41.07142857</v>
      </c>
      <c r="C456" s="55" t="str">
        <f>IF(OR(A456&gt;TODAY(),COUNTIFS('Dados do Burndown'!E2:E780,10,'Dados do Burndown'!B2:B780,"&gt;0",'Dados do Burndown'!C2:C780,TRUE,'Dados do Burndown'!D2:D780,"",'Dados do Burndown'!F2:F780,"")+COUNTIFS('Dados do Burndown'!E2:E780,10,'Dados do Burndown'!B2:B780,"&gt;0",'Dados do Burndown'!C2:C780,TRUE,'Dados do Burndown'!D2:D780,"",'Dados do Burndown'!F2:F780,10)&gt;0),"",MAX(0,$B$13-SUMIFS('Dados do Burndown'!B2:B780,'Dados do Burndown'!E2:E780,10,'Dados do Burndown'!C2:C780,TRUE,'Dados do Burndown'!D2:D780,"&gt;0",'Dados do Burndown'!D2:D780,"&lt;="&amp;A456)-SUMIFS('Dados do Burndown'!B2:B780,'Dados do Burndown'!E2:E780,10,'Dados do Burndown'!C2:C780,TRUE,'Dados do Burndown'!D2:D780,"",'Dados do Burndown'!F2:F780,"&gt;0",'Dados do Burndown'!F2:F780,"&lt;"&amp;10)))</f>
        <v/>
      </c>
      <c r="D456" s="51">
        <v>2.0</v>
      </c>
    </row>
    <row r="457">
      <c r="A457" s="60">
        <f>$B$449+2</f>
        <v>46309</v>
      </c>
      <c r="B457" s="55">
        <f>$C$13*(7-3)/7</f>
        <v>32.85714286</v>
      </c>
      <c r="C457" s="55" t="str">
        <f>IF(OR(A457&gt;TODAY(),COUNTIFS('Dados do Burndown'!E2:E780,10,'Dados do Burndown'!B2:B780,"&gt;0",'Dados do Burndown'!C2:C780,TRUE,'Dados do Burndown'!D2:D780,"",'Dados do Burndown'!F2:F780,"")+COUNTIFS('Dados do Burndown'!E2:E780,10,'Dados do Burndown'!B2:B780,"&gt;0",'Dados do Burndown'!C2:C780,TRUE,'Dados do Burndown'!D2:D780,"",'Dados do Burndown'!F2:F780,10)&gt;0),"",MAX(0,$B$13-SUMIFS('Dados do Burndown'!B2:B780,'Dados do Burndown'!E2:E780,10,'Dados do Burndown'!C2:C780,TRUE,'Dados do Burndown'!D2:D780,"&gt;0",'Dados do Burndown'!D2:D780,"&lt;="&amp;A457)-SUMIFS('Dados do Burndown'!B2:B780,'Dados do Burndown'!E2:E780,10,'Dados do Burndown'!C2:C780,TRUE,'Dados do Burndown'!D2:D780,"",'Dados do Burndown'!F2:F780,"&gt;0",'Dados do Burndown'!F2:F780,"&lt;"&amp;10)))</f>
        <v/>
      </c>
      <c r="D457" s="51">
        <v>3.0</v>
      </c>
    </row>
    <row r="458">
      <c r="A458" s="60">
        <f>$B$449+3</f>
        <v>46310</v>
      </c>
      <c r="B458" s="55">
        <f>$C$13*(7-4)/7</f>
        <v>24.64285714</v>
      </c>
      <c r="C458" s="55" t="str">
        <f>IF(OR(A458&gt;TODAY(),COUNTIFS('Dados do Burndown'!E2:E780,10,'Dados do Burndown'!B2:B780,"&gt;0",'Dados do Burndown'!C2:C780,TRUE,'Dados do Burndown'!D2:D780,"",'Dados do Burndown'!F2:F780,"")+COUNTIFS('Dados do Burndown'!E2:E780,10,'Dados do Burndown'!B2:B780,"&gt;0",'Dados do Burndown'!C2:C780,TRUE,'Dados do Burndown'!D2:D780,"",'Dados do Burndown'!F2:F780,10)&gt;0),"",MAX(0,$B$13-SUMIFS('Dados do Burndown'!B2:B780,'Dados do Burndown'!E2:E780,10,'Dados do Burndown'!C2:C780,TRUE,'Dados do Burndown'!D2:D780,"&gt;0",'Dados do Burndown'!D2:D780,"&lt;="&amp;A458)-SUMIFS('Dados do Burndown'!B2:B780,'Dados do Burndown'!E2:E780,10,'Dados do Burndown'!C2:C780,TRUE,'Dados do Burndown'!D2:D780,"",'Dados do Burndown'!F2:F780,"&gt;0",'Dados do Burndown'!F2:F780,"&lt;"&amp;10)))</f>
        <v/>
      </c>
      <c r="D458" s="51">
        <v>4.0</v>
      </c>
    </row>
    <row r="459">
      <c r="A459" s="60">
        <f>$B$449+4</f>
        <v>46311</v>
      </c>
      <c r="B459" s="55">
        <f>$C$13*(7-5)/7</f>
        <v>16.42857143</v>
      </c>
      <c r="C459" s="55" t="str">
        <f>IF(OR(A459&gt;TODAY(),COUNTIFS('Dados do Burndown'!E2:E780,10,'Dados do Burndown'!B2:B780,"&gt;0",'Dados do Burndown'!C2:C780,TRUE,'Dados do Burndown'!D2:D780,"",'Dados do Burndown'!F2:F780,"")+COUNTIFS('Dados do Burndown'!E2:E780,10,'Dados do Burndown'!B2:B780,"&gt;0",'Dados do Burndown'!C2:C780,TRUE,'Dados do Burndown'!D2:D780,"",'Dados do Burndown'!F2:F780,10)&gt;0),"",MAX(0,$B$13-SUMIFS('Dados do Burndown'!B2:B780,'Dados do Burndown'!E2:E780,10,'Dados do Burndown'!C2:C780,TRUE,'Dados do Burndown'!D2:D780,"&gt;0",'Dados do Burndown'!D2:D780,"&lt;="&amp;A459)-SUMIFS('Dados do Burndown'!B2:B780,'Dados do Burndown'!E2:E780,10,'Dados do Burndown'!C2:C780,TRUE,'Dados do Burndown'!D2:D780,"",'Dados do Burndown'!F2:F780,"&gt;0",'Dados do Burndown'!F2:F780,"&lt;"&amp;10)))</f>
        <v/>
      </c>
      <c r="D459" s="51">
        <v>5.0</v>
      </c>
    </row>
    <row r="460">
      <c r="A460" s="60">
        <f>$B$449+5</f>
        <v>46312</v>
      </c>
      <c r="B460" s="55">
        <f>$C$13*(7-6)/7</f>
        <v>8.214285714</v>
      </c>
      <c r="C460" s="55" t="str">
        <f>IF(OR(A460&gt;TODAY(),COUNTIFS('Dados do Burndown'!E2:E780,10,'Dados do Burndown'!B2:B780,"&gt;0",'Dados do Burndown'!C2:C780,TRUE,'Dados do Burndown'!D2:D780,"",'Dados do Burndown'!F2:F780,"")+COUNTIFS('Dados do Burndown'!E2:E780,10,'Dados do Burndown'!B2:B780,"&gt;0",'Dados do Burndown'!C2:C780,TRUE,'Dados do Burndown'!D2:D780,"",'Dados do Burndown'!F2:F780,10)&gt;0),"",MAX(0,$B$13-SUMIFS('Dados do Burndown'!B2:B780,'Dados do Burndown'!E2:E780,10,'Dados do Burndown'!C2:C780,TRUE,'Dados do Burndown'!D2:D780,"&gt;0",'Dados do Burndown'!D2:D780,"&lt;="&amp;A460)-SUMIFS('Dados do Burndown'!B2:B780,'Dados do Burndown'!E2:E780,10,'Dados do Burndown'!C2:C780,TRUE,'Dados do Burndown'!D2:D780,"",'Dados do Burndown'!F2:F780,"&gt;0",'Dados do Burndown'!F2:F780,"&lt;"&amp;10)))</f>
        <v/>
      </c>
      <c r="D460" s="51">
        <v>6.0</v>
      </c>
    </row>
    <row r="461">
      <c r="A461" s="60">
        <f>$B$449+6</f>
        <v>46313</v>
      </c>
      <c r="B461" s="55">
        <f>$C$13*(7-7)/7</f>
        <v>0</v>
      </c>
      <c r="C461" s="55" t="str">
        <f>IF(OR(A461&gt;TODAY(),COUNTIFS('Dados do Burndown'!E2:E780,10,'Dados do Burndown'!B2:B780,"&gt;0",'Dados do Burndown'!C2:C780,TRUE,'Dados do Burndown'!D2:D780,"",'Dados do Burndown'!F2:F780,"")&gt;0),"",MAX(0,$B$13-SUMIFS('Dados do Burndown'!B2:B780,'Dados do Burndown'!E2:E780,10,'Dados do Burndown'!C2:C780,TRUE,'Dados do Burndown'!D2:D780,"&gt;0",'Dados do Burndown'!D2:D780,"&lt;="&amp;A461)-SUMIFS('Dados do Burndown'!B2:B780,'Dados do Burndown'!E2:E780,10,'Dados do Burndown'!C2:C780,TRUE,'Dados do Burndown'!D2:D780,"",'Dados do Burndown'!F2:F780,"&gt;0",'Dados do Burndown'!F2:F780,"&lt;="&amp;10)))</f>
        <v/>
      </c>
      <c r="D461" s="51">
        <v>7.0</v>
      </c>
    </row>
    <row r="463" ht="24.0" customHeight="1">
      <c r="A463" s="61"/>
    </row>
    <row r="464" ht="24.0" customHeight="1"/>
    <row r="467" ht="25.5" customHeight="1">
      <c r="A467" s="62" t="s">
        <v>143</v>
      </c>
      <c r="E467" s="63" t="s">
        <v>144</v>
      </c>
    </row>
    <row r="468">
      <c r="A468" s="64" t="str">
        <f>IFERROR(__xludf.DUMMYFUNCTION("IFNA(TEXTJOIN(CHAR(10),TRUE,FILTER('Dados do Burndown'!A2:A780,'Dados do Burndown'!A2:A780&lt;&gt;"""",'Dados do Burndown'!E2:E780=10)),""Nenhuma tarefa planejada"")"),"2.3.1.1 Afogamento
2.3.1.2 Falta de Peças
2.3.1.3 50 lances
2.3.1.4 Tripla Repetição
2.3.2.1 Detectar Xeque e Xeque Mate
2.3.2.2 Armazenar Partida em Histórico
2.3.3 Bloquear movimentos desistentes
2.3.4 Detectar Cravada
2.4.2 Testes de detecção do estado"&amp;" da partida
3.3.1 Testes do MinMax
3.3.3 Testes dos níveis de dificuldade
4.2.1.10 Reunião Semanal 10")</f>
        <v>2.3.1.1 Afogamento
2.3.1.2 Falta de Peças
2.3.1.3 50 lances
2.3.1.4 Tripla Repetição
2.3.2.1 Detectar Xeque e Xeque Mate
2.3.2.2 Armazenar Partida em Histórico
2.3.3 Bloquear movimentos desistentes
2.3.4 Detectar Cravada
2.4.2 Testes de detecção do estado da partida
3.3.1 Testes do MinMax
3.3.3 Testes dos níveis de dificuldade
4.2.1.10 Reunião Semanal 10</v>
      </c>
      <c r="E468" s="64" t="str">
        <f>IFERROR(__xludf.DUMMYFUNCTION("IFNA(TEXTJOIN(CHAR(10),TRUE,FILTER('Dados do Burndown'!A2:A780,'Dados do Burndown'!A2:A780&lt;&gt;"""",'Dados do Burndown'!E2:E780=10,'Dados do Burndown'!C2:C780=TRUE,((('Dados do Burndown'!D2:D780&lt;=$B$450)*('Dados do Burndown'!D2:D780&gt;0))+(('Dados do Burndown'"&amp;"!D2:D780="""")*('Dados do Burndown'!F2:F780&gt;0)*('Dados do Burndown'!F2:F780&lt;=10)))&gt;0)),""Nenhuma tarefa do escopo concluída"")"),"Nenhuma tarefa do escopo concluída")</f>
        <v>Nenhuma tarefa do escopo concluída</v>
      </c>
    </row>
    <row r="493">
      <c r="A493" s="57" t="s">
        <v>154</v>
      </c>
    </row>
    <row r="494">
      <c r="A494" s="51" t="s">
        <v>135</v>
      </c>
      <c r="B494" s="55">
        <f>B14</f>
        <v>17.5</v>
      </c>
    </row>
    <row r="495">
      <c r="A495" s="51" t="s">
        <v>131</v>
      </c>
      <c r="B495" s="8" t="str">
        <f>E14</f>
        <v>Futura</v>
      </c>
    </row>
    <row r="496">
      <c r="A496" s="51" t="s">
        <v>136</v>
      </c>
      <c r="B496" s="9">
        <f>'Dados do Burndown'!R12</f>
        <v>46314</v>
      </c>
    </row>
    <row r="497">
      <c r="A497" s="51" t="s">
        <v>137</v>
      </c>
      <c r="B497" s="9">
        <f>B496+6</f>
        <v>46320</v>
      </c>
      <c r="C497" s="51"/>
    </row>
    <row r="498">
      <c r="A498" s="51" t="s">
        <v>132</v>
      </c>
      <c r="B498" s="8">
        <f>F14</f>
        <v>0</v>
      </c>
    </row>
    <row r="499">
      <c r="A499" s="51"/>
      <c r="B499" s="51"/>
    </row>
    <row r="500">
      <c r="A500" s="49" t="s">
        <v>138</v>
      </c>
      <c r="B500" s="58" t="s">
        <v>139</v>
      </c>
      <c r="C500" s="58" t="s">
        <v>140</v>
      </c>
      <c r="D500" s="51" t="s">
        <v>141</v>
      </c>
    </row>
    <row r="501">
      <c r="A501" s="59" t="s">
        <v>142</v>
      </c>
      <c r="B501" s="55">
        <f>$C$14*(7-0)/7</f>
        <v>17.5</v>
      </c>
      <c r="C501" s="55">
        <f>$C$14</f>
        <v>17.5</v>
      </c>
      <c r="D501" s="51">
        <v>0.0</v>
      </c>
    </row>
    <row r="502">
      <c r="A502" s="60">
        <f>$B$496+0</f>
        <v>46314</v>
      </c>
      <c r="B502" s="55">
        <f>$C$14*(7-1)/7</f>
        <v>15</v>
      </c>
      <c r="C502" s="55" t="str">
        <f>IF(OR(A502&gt;TODAY(),COUNTIFS('Dados do Burndown'!E2:E780,11,'Dados do Burndown'!B2:B780,"&gt;0",'Dados do Burndown'!C2:C780,TRUE,'Dados do Burndown'!D2:D780,"",'Dados do Burndown'!F2:F780,"")+COUNTIFS('Dados do Burndown'!E2:E780,11,'Dados do Burndown'!B2:B780,"&gt;0",'Dados do Burndown'!C2:C780,TRUE,'Dados do Burndown'!D2:D780,"",'Dados do Burndown'!F2:F780,11)&gt;0),"",MAX(0,$B$14-SUMIFS('Dados do Burndown'!B2:B780,'Dados do Burndown'!E2:E780,11,'Dados do Burndown'!C2:C780,TRUE,'Dados do Burndown'!D2:D780,"&gt;0",'Dados do Burndown'!D2:D780,"&lt;="&amp;A502)-SUMIFS('Dados do Burndown'!B2:B780,'Dados do Burndown'!E2:E780,11,'Dados do Burndown'!C2:C780,TRUE,'Dados do Burndown'!D2:D780,"",'Dados do Burndown'!F2:F780,"&gt;0",'Dados do Burndown'!F2:F780,"&lt;"&amp;11)))</f>
        <v/>
      </c>
      <c r="D502" s="51">
        <v>1.0</v>
      </c>
    </row>
    <row r="503">
      <c r="A503" s="60">
        <f>$B$496+1</f>
        <v>46315</v>
      </c>
      <c r="B503" s="55">
        <f>$C$14*(7-2)/7</f>
        <v>12.5</v>
      </c>
      <c r="C503" s="55" t="str">
        <f>IF(OR(A503&gt;TODAY(),COUNTIFS('Dados do Burndown'!E2:E780,11,'Dados do Burndown'!B2:B780,"&gt;0",'Dados do Burndown'!C2:C780,TRUE,'Dados do Burndown'!D2:D780,"",'Dados do Burndown'!F2:F780,"")+COUNTIFS('Dados do Burndown'!E2:E780,11,'Dados do Burndown'!B2:B780,"&gt;0",'Dados do Burndown'!C2:C780,TRUE,'Dados do Burndown'!D2:D780,"",'Dados do Burndown'!F2:F780,11)&gt;0),"",MAX(0,$B$14-SUMIFS('Dados do Burndown'!B2:B780,'Dados do Burndown'!E2:E780,11,'Dados do Burndown'!C2:C780,TRUE,'Dados do Burndown'!D2:D780,"&gt;0",'Dados do Burndown'!D2:D780,"&lt;="&amp;A503)-SUMIFS('Dados do Burndown'!B2:B780,'Dados do Burndown'!E2:E780,11,'Dados do Burndown'!C2:C780,TRUE,'Dados do Burndown'!D2:D780,"",'Dados do Burndown'!F2:F780,"&gt;0",'Dados do Burndown'!F2:F780,"&lt;"&amp;11)))</f>
        <v/>
      </c>
      <c r="D503" s="51">
        <v>2.0</v>
      </c>
    </row>
    <row r="504">
      <c r="A504" s="60">
        <f>$B$496+2</f>
        <v>46316</v>
      </c>
      <c r="B504" s="55">
        <f>$C$14*(7-3)/7</f>
        <v>10</v>
      </c>
      <c r="C504" s="55" t="str">
        <f>IF(OR(A504&gt;TODAY(),COUNTIFS('Dados do Burndown'!E2:E780,11,'Dados do Burndown'!B2:B780,"&gt;0",'Dados do Burndown'!C2:C780,TRUE,'Dados do Burndown'!D2:D780,"",'Dados do Burndown'!F2:F780,"")+COUNTIFS('Dados do Burndown'!E2:E780,11,'Dados do Burndown'!B2:B780,"&gt;0",'Dados do Burndown'!C2:C780,TRUE,'Dados do Burndown'!D2:D780,"",'Dados do Burndown'!F2:F780,11)&gt;0),"",MAX(0,$B$14-SUMIFS('Dados do Burndown'!B2:B780,'Dados do Burndown'!E2:E780,11,'Dados do Burndown'!C2:C780,TRUE,'Dados do Burndown'!D2:D780,"&gt;0",'Dados do Burndown'!D2:D780,"&lt;="&amp;A504)-SUMIFS('Dados do Burndown'!B2:B780,'Dados do Burndown'!E2:E780,11,'Dados do Burndown'!C2:C780,TRUE,'Dados do Burndown'!D2:D780,"",'Dados do Burndown'!F2:F780,"&gt;0",'Dados do Burndown'!F2:F780,"&lt;"&amp;11)))</f>
        <v/>
      </c>
      <c r="D504" s="51">
        <v>3.0</v>
      </c>
    </row>
    <row r="505">
      <c r="A505" s="60">
        <f>$B$496+3</f>
        <v>46317</v>
      </c>
      <c r="B505" s="55">
        <f>$C$14*(7-4)/7</f>
        <v>7.5</v>
      </c>
      <c r="C505" s="55" t="str">
        <f>IF(OR(A505&gt;TODAY(),COUNTIFS('Dados do Burndown'!E2:E780,11,'Dados do Burndown'!B2:B780,"&gt;0",'Dados do Burndown'!C2:C780,TRUE,'Dados do Burndown'!D2:D780,"",'Dados do Burndown'!F2:F780,"")+COUNTIFS('Dados do Burndown'!E2:E780,11,'Dados do Burndown'!B2:B780,"&gt;0",'Dados do Burndown'!C2:C780,TRUE,'Dados do Burndown'!D2:D780,"",'Dados do Burndown'!F2:F780,11)&gt;0),"",MAX(0,$B$14-SUMIFS('Dados do Burndown'!B2:B780,'Dados do Burndown'!E2:E780,11,'Dados do Burndown'!C2:C780,TRUE,'Dados do Burndown'!D2:D780,"&gt;0",'Dados do Burndown'!D2:D780,"&lt;="&amp;A505)-SUMIFS('Dados do Burndown'!B2:B780,'Dados do Burndown'!E2:E780,11,'Dados do Burndown'!C2:C780,TRUE,'Dados do Burndown'!D2:D780,"",'Dados do Burndown'!F2:F780,"&gt;0",'Dados do Burndown'!F2:F780,"&lt;"&amp;11)))</f>
        <v/>
      </c>
      <c r="D505" s="51">
        <v>4.0</v>
      </c>
    </row>
    <row r="506">
      <c r="A506" s="60">
        <f>$B$496+4</f>
        <v>46318</v>
      </c>
      <c r="B506" s="55">
        <f>$C$14*(7-5)/7</f>
        <v>5</v>
      </c>
      <c r="C506" s="55" t="str">
        <f>IF(OR(A506&gt;TODAY(),COUNTIFS('Dados do Burndown'!E2:E780,11,'Dados do Burndown'!B2:B780,"&gt;0",'Dados do Burndown'!C2:C780,TRUE,'Dados do Burndown'!D2:D780,"",'Dados do Burndown'!F2:F780,"")+COUNTIFS('Dados do Burndown'!E2:E780,11,'Dados do Burndown'!B2:B780,"&gt;0",'Dados do Burndown'!C2:C780,TRUE,'Dados do Burndown'!D2:D780,"",'Dados do Burndown'!F2:F780,11)&gt;0),"",MAX(0,$B$14-SUMIFS('Dados do Burndown'!B2:B780,'Dados do Burndown'!E2:E780,11,'Dados do Burndown'!C2:C780,TRUE,'Dados do Burndown'!D2:D780,"&gt;0",'Dados do Burndown'!D2:D780,"&lt;="&amp;A506)-SUMIFS('Dados do Burndown'!B2:B780,'Dados do Burndown'!E2:E780,11,'Dados do Burndown'!C2:C780,TRUE,'Dados do Burndown'!D2:D780,"",'Dados do Burndown'!F2:F780,"&gt;0",'Dados do Burndown'!F2:F780,"&lt;"&amp;11)))</f>
        <v/>
      </c>
      <c r="D506" s="51">
        <v>5.0</v>
      </c>
    </row>
    <row r="507">
      <c r="A507" s="60">
        <f>$B$496+5</f>
        <v>46319</v>
      </c>
      <c r="B507" s="55">
        <f>$C$14*(7-6)/7</f>
        <v>2.5</v>
      </c>
      <c r="C507" s="55" t="str">
        <f>IF(OR(A507&gt;TODAY(),COUNTIFS('Dados do Burndown'!E2:E780,11,'Dados do Burndown'!B2:B780,"&gt;0",'Dados do Burndown'!C2:C780,TRUE,'Dados do Burndown'!D2:D780,"",'Dados do Burndown'!F2:F780,"")+COUNTIFS('Dados do Burndown'!E2:E780,11,'Dados do Burndown'!B2:B780,"&gt;0",'Dados do Burndown'!C2:C780,TRUE,'Dados do Burndown'!D2:D780,"",'Dados do Burndown'!F2:F780,11)&gt;0),"",MAX(0,$B$14-SUMIFS('Dados do Burndown'!B2:B780,'Dados do Burndown'!E2:E780,11,'Dados do Burndown'!C2:C780,TRUE,'Dados do Burndown'!D2:D780,"&gt;0",'Dados do Burndown'!D2:D780,"&lt;="&amp;A507)-SUMIFS('Dados do Burndown'!B2:B780,'Dados do Burndown'!E2:E780,11,'Dados do Burndown'!C2:C780,TRUE,'Dados do Burndown'!D2:D780,"",'Dados do Burndown'!F2:F780,"&gt;0",'Dados do Burndown'!F2:F780,"&lt;"&amp;11)))</f>
        <v/>
      </c>
      <c r="D507" s="51">
        <v>6.0</v>
      </c>
    </row>
    <row r="508">
      <c r="A508" s="60">
        <f>$B$496+6</f>
        <v>46320</v>
      </c>
      <c r="B508" s="55">
        <f>$C$14*(7-7)/7</f>
        <v>0</v>
      </c>
      <c r="C508" s="55" t="str">
        <f>IF(OR(A508&gt;TODAY(),COUNTIFS('Dados do Burndown'!E2:E780,11,'Dados do Burndown'!B2:B780,"&gt;0",'Dados do Burndown'!C2:C780,TRUE,'Dados do Burndown'!D2:D780,"",'Dados do Burndown'!F2:F780,"")&gt;0),"",MAX(0,$B$14-SUMIFS('Dados do Burndown'!B2:B780,'Dados do Burndown'!E2:E780,11,'Dados do Burndown'!C2:C780,TRUE,'Dados do Burndown'!D2:D780,"&gt;0",'Dados do Burndown'!D2:D780,"&lt;="&amp;A508)-SUMIFS('Dados do Burndown'!B2:B780,'Dados do Burndown'!E2:E780,11,'Dados do Burndown'!C2:C780,TRUE,'Dados do Burndown'!D2:D780,"",'Dados do Burndown'!F2:F780,"&gt;0",'Dados do Burndown'!F2:F780,"&lt;="&amp;11)))</f>
        <v/>
      </c>
      <c r="D508" s="51">
        <v>7.0</v>
      </c>
    </row>
    <row r="510" ht="24.0" customHeight="1">
      <c r="A510" s="61"/>
    </row>
    <row r="511" ht="24.0" customHeight="1"/>
    <row r="514" ht="25.5" customHeight="1">
      <c r="A514" s="62" t="s">
        <v>143</v>
      </c>
      <c r="E514" s="63" t="s">
        <v>144</v>
      </c>
    </row>
    <row r="515">
      <c r="A515" s="64" t="str">
        <f>IFERROR(__xludf.DUMMYFUNCTION("IFNA(TEXTJOIN(CHAR(10),TRUE,FILTER('Dados do Burndown'!A2:A780,'Dados do Burndown'!A2:A780&lt;&gt;"""",'Dados do Burndown'!E2:E780=11)),""Nenhuma tarefa planejada"")"),"4.2.1.11 Reunião Semanal 11")</f>
        <v>4.2.1.11 Reunião Semanal 11</v>
      </c>
      <c r="E515" s="64" t="str">
        <f>IFERROR(__xludf.DUMMYFUNCTION("IFNA(TEXTJOIN(CHAR(10),TRUE,FILTER('Dados do Burndown'!A2:A780,'Dados do Burndown'!A2:A780&lt;&gt;"""",'Dados do Burndown'!E2:E780=11,'Dados do Burndown'!C2:C780=TRUE,((('Dados do Burndown'!D2:D780&lt;=$B$497)*('Dados do Burndown'!D2:D780&gt;0))+(('Dados do Burndown'"&amp;"!D2:D780="""")*('Dados do Burndown'!F2:F780&gt;0)*('Dados do Burndown'!F2:F780&lt;=11)))&gt;0)),""Nenhuma tarefa do escopo concluída"")"),"Nenhuma tarefa do escopo concluída")</f>
        <v>Nenhuma tarefa do escopo concluída</v>
      </c>
    </row>
    <row r="540">
      <c r="A540" s="57" t="s">
        <v>155</v>
      </c>
    </row>
    <row r="541">
      <c r="A541" s="51" t="s">
        <v>135</v>
      </c>
      <c r="B541" s="55">
        <f>B15</f>
        <v>17.5</v>
      </c>
    </row>
    <row r="542">
      <c r="A542" s="51" t="s">
        <v>131</v>
      </c>
      <c r="B542" s="8" t="str">
        <f>E15</f>
        <v>Futura</v>
      </c>
    </row>
    <row r="543">
      <c r="A543" s="51" t="s">
        <v>136</v>
      </c>
      <c r="B543" s="9">
        <f>'Dados do Burndown'!R13</f>
        <v>46321</v>
      </c>
    </row>
    <row r="544">
      <c r="A544" s="51" t="s">
        <v>137</v>
      </c>
      <c r="B544" s="9">
        <f>B543+6</f>
        <v>46327</v>
      </c>
      <c r="C544" s="51"/>
    </row>
    <row r="545">
      <c r="A545" s="51" t="s">
        <v>132</v>
      </c>
      <c r="B545" s="8">
        <f>F15</f>
        <v>0</v>
      </c>
    </row>
    <row r="546">
      <c r="A546" s="51"/>
      <c r="B546" s="51"/>
    </row>
    <row r="547">
      <c r="A547" s="49" t="s">
        <v>138</v>
      </c>
      <c r="B547" s="58" t="s">
        <v>139</v>
      </c>
      <c r="C547" s="58" t="s">
        <v>140</v>
      </c>
      <c r="D547" s="51" t="s">
        <v>141</v>
      </c>
    </row>
    <row r="548">
      <c r="A548" s="59" t="s">
        <v>142</v>
      </c>
      <c r="B548" s="55">
        <f>$C$15*(7-0)/7</f>
        <v>17.5</v>
      </c>
      <c r="C548" s="55">
        <f>$C$15</f>
        <v>17.5</v>
      </c>
      <c r="D548" s="51">
        <v>0.0</v>
      </c>
    </row>
    <row r="549">
      <c r="A549" s="60">
        <f>$B$543+0</f>
        <v>46321</v>
      </c>
      <c r="B549" s="55">
        <f>$C$15*(7-1)/7</f>
        <v>15</v>
      </c>
      <c r="C549" s="55" t="str">
        <f>IF(OR(A549&gt;TODAY(),COUNTIFS('Dados do Burndown'!E2:E780,12,'Dados do Burndown'!B2:B780,"&gt;0",'Dados do Burndown'!C2:C780,TRUE,'Dados do Burndown'!D2:D780,"",'Dados do Burndown'!F2:F780,"")+COUNTIFS('Dados do Burndown'!E2:E780,12,'Dados do Burndown'!B2:B780,"&gt;0",'Dados do Burndown'!C2:C780,TRUE,'Dados do Burndown'!D2:D780,"",'Dados do Burndown'!F2:F780,12)&gt;0),"",MAX(0,$B$15-SUMIFS('Dados do Burndown'!B2:B780,'Dados do Burndown'!E2:E780,12,'Dados do Burndown'!C2:C780,TRUE,'Dados do Burndown'!D2:D780,"&gt;0",'Dados do Burndown'!D2:D780,"&lt;="&amp;A549)-SUMIFS('Dados do Burndown'!B2:B780,'Dados do Burndown'!E2:E780,12,'Dados do Burndown'!C2:C780,TRUE,'Dados do Burndown'!D2:D780,"",'Dados do Burndown'!F2:F780,"&gt;0",'Dados do Burndown'!F2:F780,"&lt;"&amp;12)))</f>
        <v/>
      </c>
      <c r="D549" s="51">
        <v>1.0</v>
      </c>
    </row>
    <row r="550">
      <c r="A550" s="60">
        <f>$B$543+1</f>
        <v>46322</v>
      </c>
      <c r="B550" s="55">
        <f>$C$15*(7-2)/7</f>
        <v>12.5</v>
      </c>
      <c r="C550" s="55" t="str">
        <f>IF(OR(A550&gt;TODAY(),COUNTIFS('Dados do Burndown'!E2:E780,12,'Dados do Burndown'!B2:B780,"&gt;0",'Dados do Burndown'!C2:C780,TRUE,'Dados do Burndown'!D2:D780,"",'Dados do Burndown'!F2:F780,"")+COUNTIFS('Dados do Burndown'!E2:E780,12,'Dados do Burndown'!B2:B780,"&gt;0",'Dados do Burndown'!C2:C780,TRUE,'Dados do Burndown'!D2:D780,"",'Dados do Burndown'!F2:F780,12)&gt;0),"",MAX(0,$B$15-SUMIFS('Dados do Burndown'!B2:B780,'Dados do Burndown'!E2:E780,12,'Dados do Burndown'!C2:C780,TRUE,'Dados do Burndown'!D2:D780,"&gt;0",'Dados do Burndown'!D2:D780,"&lt;="&amp;A550)-SUMIFS('Dados do Burndown'!B2:B780,'Dados do Burndown'!E2:E780,12,'Dados do Burndown'!C2:C780,TRUE,'Dados do Burndown'!D2:D780,"",'Dados do Burndown'!F2:F780,"&gt;0",'Dados do Burndown'!F2:F780,"&lt;"&amp;12)))</f>
        <v/>
      </c>
      <c r="D550" s="51">
        <v>2.0</v>
      </c>
    </row>
    <row r="551">
      <c r="A551" s="60">
        <f>$B$543+2</f>
        <v>46323</v>
      </c>
      <c r="B551" s="55">
        <f>$C$15*(7-3)/7</f>
        <v>10</v>
      </c>
      <c r="C551" s="55" t="str">
        <f>IF(OR(A551&gt;TODAY(),COUNTIFS('Dados do Burndown'!E2:E780,12,'Dados do Burndown'!B2:B780,"&gt;0",'Dados do Burndown'!C2:C780,TRUE,'Dados do Burndown'!D2:D780,"",'Dados do Burndown'!F2:F780,"")+COUNTIFS('Dados do Burndown'!E2:E780,12,'Dados do Burndown'!B2:B780,"&gt;0",'Dados do Burndown'!C2:C780,TRUE,'Dados do Burndown'!D2:D780,"",'Dados do Burndown'!F2:F780,12)&gt;0),"",MAX(0,$B$15-SUMIFS('Dados do Burndown'!B2:B780,'Dados do Burndown'!E2:E780,12,'Dados do Burndown'!C2:C780,TRUE,'Dados do Burndown'!D2:D780,"&gt;0",'Dados do Burndown'!D2:D780,"&lt;="&amp;A551)-SUMIFS('Dados do Burndown'!B2:B780,'Dados do Burndown'!E2:E780,12,'Dados do Burndown'!C2:C780,TRUE,'Dados do Burndown'!D2:D780,"",'Dados do Burndown'!F2:F780,"&gt;0",'Dados do Burndown'!F2:F780,"&lt;"&amp;12)))</f>
        <v/>
      </c>
      <c r="D551" s="51">
        <v>3.0</v>
      </c>
    </row>
    <row r="552">
      <c r="A552" s="60">
        <f>$B$543+3</f>
        <v>46324</v>
      </c>
      <c r="B552" s="55">
        <f>$C$15*(7-4)/7</f>
        <v>7.5</v>
      </c>
      <c r="C552" s="55" t="str">
        <f>IF(OR(A552&gt;TODAY(),COUNTIFS('Dados do Burndown'!E2:E780,12,'Dados do Burndown'!B2:B780,"&gt;0",'Dados do Burndown'!C2:C780,TRUE,'Dados do Burndown'!D2:D780,"",'Dados do Burndown'!F2:F780,"")+COUNTIFS('Dados do Burndown'!E2:E780,12,'Dados do Burndown'!B2:B780,"&gt;0",'Dados do Burndown'!C2:C780,TRUE,'Dados do Burndown'!D2:D780,"",'Dados do Burndown'!F2:F780,12)&gt;0),"",MAX(0,$B$15-SUMIFS('Dados do Burndown'!B2:B780,'Dados do Burndown'!E2:E780,12,'Dados do Burndown'!C2:C780,TRUE,'Dados do Burndown'!D2:D780,"&gt;0",'Dados do Burndown'!D2:D780,"&lt;="&amp;A552)-SUMIFS('Dados do Burndown'!B2:B780,'Dados do Burndown'!E2:E780,12,'Dados do Burndown'!C2:C780,TRUE,'Dados do Burndown'!D2:D780,"",'Dados do Burndown'!F2:F780,"&gt;0",'Dados do Burndown'!F2:F780,"&lt;"&amp;12)))</f>
        <v/>
      </c>
      <c r="D552" s="51">
        <v>4.0</v>
      </c>
    </row>
    <row r="553">
      <c r="A553" s="60">
        <f>$B$543+4</f>
        <v>46325</v>
      </c>
      <c r="B553" s="55">
        <f>$C$15*(7-5)/7</f>
        <v>5</v>
      </c>
      <c r="C553" s="55" t="str">
        <f>IF(OR(A553&gt;TODAY(),COUNTIFS('Dados do Burndown'!E2:E780,12,'Dados do Burndown'!B2:B780,"&gt;0",'Dados do Burndown'!C2:C780,TRUE,'Dados do Burndown'!D2:D780,"",'Dados do Burndown'!F2:F780,"")+COUNTIFS('Dados do Burndown'!E2:E780,12,'Dados do Burndown'!B2:B780,"&gt;0",'Dados do Burndown'!C2:C780,TRUE,'Dados do Burndown'!D2:D780,"",'Dados do Burndown'!F2:F780,12)&gt;0),"",MAX(0,$B$15-SUMIFS('Dados do Burndown'!B2:B780,'Dados do Burndown'!E2:E780,12,'Dados do Burndown'!C2:C780,TRUE,'Dados do Burndown'!D2:D780,"&gt;0",'Dados do Burndown'!D2:D780,"&lt;="&amp;A553)-SUMIFS('Dados do Burndown'!B2:B780,'Dados do Burndown'!E2:E780,12,'Dados do Burndown'!C2:C780,TRUE,'Dados do Burndown'!D2:D780,"",'Dados do Burndown'!F2:F780,"&gt;0",'Dados do Burndown'!F2:F780,"&lt;"&amp;12)))</f>
        <v/>
      </c>
      <c r="D553" s="51">
        <v>5.0</v>
      </c>
    </row>
    <row r="554">
      <c r="A554" s="60">
        <f>$B$543+5</f>
        <v>46326</v>
      </c>
      <c r="B554" s="55">
        <f>$C$15*(7-6)/7</f>
        <v>2.5</v>
      </c>
      <c r="C554" s="55" t="str">
        <f>IF(OR(A554&gt;TODAY(),COUNTIFS('Dados do Burndown'!E2:E780,12,'Dados do Burndown'!B2:B780,"&gt;0",'Dados do Burndown'!C2:C780,TRUE,'Dados do Burndown'!D2:D780,"",'Dados do Burndown'!F2:F780,"")+COUNTIFS('Dados do Burndown'!E2:E780,12,'Dados do Burndown'!B2:B780,"&gt;0",'Dados do Burndown'!C2:C780,TRUE,'Dados do Burndown'!D2:D780,"",'Dados do Burndown'!F2:F780,12)&gt;0),"",MAX(0,$B$15-SUMIFS('Dados do Burndown'!B2:B780,'Dados do Burndown'!E2:E780,12,'Dados do Burndown'!C2:C780,TRUE,'Dados do Burndown'!D2:D780,"&gt;0",'Dados do Burndown'!D2:D780,"&lt;="&amp;A554)-SUMIFS('Dados do Burndown'!B2:B780,'Dados do Burndown'!E2:E780,12,'Dados do Burndown'!C2:C780,TRUE,'Dados do Burndown'!D2:D780,"",'Dados do Burndown'!F2:F780,"&gt;0",'Dados do Burndown'!F2:F780,"&lt;"&amp;12)))</f>
        <v/>
      </c>
      <c r="D554" s="51">
        <v>6.0</v>
      </c>
    </row>
    <row r="555">
      <c r="A555" s="60">
        <f>$B$543+6</f>
        <v>46327</v>
      </c>
      <c r="B555" s="55">
        <f>$C$15*(7-7)/7</f>
        <v>0</v>
      </c>
      <c r="C555" s="55" t="str">
        <f>IF(OR(A555&gt;TODAY(),COUNTIFS('Dados do Burndown'!E2:E780,12,'Dados do Burndown'!B2:B780,"&gt;0",'Dados do Burndown'!C2:C780,TRUE,'Dados do Burndown'!D2:D780,"",'Dados do Burndown'!F2:F780,"")&gt;0),"",MAX(0,$B$15-SUMIFS('Dados do Burndown'!B2:B780,'Dados do Burndown'!E2:E780,12,'Dados do Burndown'!C2:C780,TRUE,'Dados do Burndown'!D2:D780,"&gt;0",'Dados do Burndown'!D2:D780,"&lt;="&amp;A555)-SUMIFS('Dados do Burndown'!B2:B780,'Dados do Burndown'!E2:E780,12,'Dados do Burndown'!C2:C780,TRUE,'Dados do Burndown'!D2:D780,"",'Dados do Burndown'!F2:F780,"&gt;0",'Dados do Burndown'!F2:F780,"&lt;="&amp;12)))</f>
        <v/>
      </c>
      <c r="D555" s="51">
        <v>7.0</v>
      </c>
    </row>
    <row r="557" ht="24.0" customHeight="1">
      <c r="A557" s="61"/>
    </row>
    <row r="558" ht="24.0" customHeight="1"/>
    <row r="561" ht="25.5" customHeight="1">
      <c r="A561" s="62" t="s">
        <v>143</v>
      </c>
      <c r="E561" s="63" t="s">
        <v>144</v>
      </c>
    </row>
    <row r="562">
      <c r="A562" s="64" t="str">
        <f>IFERROR(__xludf.DUMMYFUNCTION("IFNA(TEXTJOIN(CHAR(10),TRUE,FILTER('Dados do Burndown'!A2:A780,'Dados do Burndown'!A2:A780&lt;&gt;"""",'Dados do Burndown'!E2:E780=12)),""Nenhuma tarefa planejada"")"),"4.2.1.12 Reunião Semanal 12")</f>
        <v>4.2.1.12 Reunião Semanal 12</v>
      </c>
      <c r="E562" s="64" t="str">
        <f>IFERROR(__xludf.DUMMYFUNCTION("IFNA(TEXTJOIN(CHAR(10),TRUE,FILTER('Dados do Burndown'!A2:A780,'Dados do Burndown'!A2:A780&lt;&gt;"""",'Dados do Burndown'!E2:E780=12,'Dados do Burndown'!C2:C780=TRUE,((('Dados do Burndown'!D2:D780&lt;=$B$544)*('Dados do Burndown'!D2:D780&gt;0))+(('Dados do Burndown'"&amp;"!D2:D780="""")*('Dados do Burndown'!F2:F780&gt;0)*('Dados do Burndown'!F2:F780&lt;=12)))&gt;0)),""Nenhuma tarefa do escopo concluída"")"),"Nenhuma tarefa do escopo concluída")</f>
        <v>Nenhuma tarefa do escopo concluída</v>
      </c>
    </row>
    <row r="587">
      <c r="A587" s="57" t="s">
        <v>156</v>
      </c>
    </row>
    <row r="588">
      <c r="A588" s="51" t="s">
        <v>135</v>
      </c>
      <c r="B588" s="55">
        <f>B16</f>
        <v>17.5</v>
      </c>
    </row>
    <row r="589">
      <c r="A589" s="51" t="s">
        <v>131</v>
      </c>
      <c r="B589" s="8" t="str">
        <f>E16</f>
        <v>Futura</v>
      </c>
    </row>
    <row r="590">
      <c r="A590" s="51" t="s">
        <v>136</v>
      </c>
      <c r="B590" s="9">
        <f>'Dados do Burndown'!R14</f>
        <v>46328</v>
      </c>
    </row>
    <row r="591">
      <c r="A591" s="51" t="s">
        <v>137</v>
      </c>
      <c r="B591" s="9">
        <f>B590+6</f>
        <v>46334</v>
      </c>
      <c r="C591" s="51"/>
    </row>
    <row r="592">
      <c r="A592" s="51" t="s">
        <v>132</v>
      </c>
      <c r="B592" s="8">
        <f>F16</f>
        <v>0</v>
      </c>
    </row>
    <row r="593">
      <c r="A593" s="51"/>
      <c r="B593" s="51"/>
    </row>
    <row r="594">
      <c r="A594" s="49" t="s">
        <v>138</v>
      </c>
      <c r="B594" s="58" t="s">
        <v>139</v>
      </c>
      <c r="C594" s="58" t="s">
        <v>140</v>
      </c>
      <c r="D594" s="51" t="s">
        <v>141</v>
      </c>
    </row>
    <row r="595">
      <c r="A595" s="59" t="s">
        <v>142</v>
      </c>
      <c r="B595" s="55">
        <f>$C$16*(7-0)/7</f>
        <v>17.5</v>
      </c>
      <c r="C595" s="55">
        <f>$C$16</f>
        <v>17.5</v>
      </c>
      <c r="D595" s="51">
        <v>0.0</v>
      </c>
    </row>
    <row r="596">
      <c r="A596" s="60">
        <f>$B$590+0</f>
        <v>46328</v>
      </c>
      <c r="B596" s="55">
        <f>$C$16*(7-1)/7</f>
        <v>15</v>
      </c>
      <c r="C596" s="55" t="str">
        <f>IF(OR(A596&gt;TODAY(),COUNTIFS('Dados do Burndown'!E2:E780,13,'Dados do Burndown'!B2:B780,"&gt;0",'Dados do Burndown'!C2:C780,TRUE,'Dados do Burndown'!D2:D780,"",'Dados do Burndown'!F2:F780,"")+COUNTIFS('Dados do Burndown'!E2:E780,13,'Dados do Burndown'!B2:B780,"&gt;0",'Dados do Burndown'!C2:C780,TRUE,'Dados do Burndown'!D2:D780,"",'Dados do Burndown'!F2:F780,13)&gt;0),"",MAX(0,$B$16-SUMIFS('Dados do Burndown'!B2:B780,'Dados do Burndown'!E2:E780,13,'Dados do Burndown'!C2:C780,TRUE,'Dados do Burndown'!D2:D780,"&gt;0",'Dados do Burndown'!D2:D780,"&lt;="&amp;A596)-SUMIFS('Dados do Burndown'!B2:B780,'Dados do Burndown'!E2:E780,13,'Dados do Burndown'!C2:C780,TRUE,'Dados do Burndown'!D2:D780,"",'Dados do Burndown'!F2:F780,"&gt;0",'Dados do Burndown'!F2:F780,"&lt;"&amp;13)))</f>
        <v/>
      </c>
      <c r="D596" s="51">
        <v>1.0</v>
      </c>
    </row>
    <row r="597">
      <c r="A597" s="60">
        <f>$B$590+1</f>
        <v>46329</v>
      </c>
      <c r="B597" s="55">
        <f>$C$16*(7-2)/7</f>
        <v>12.5</v>
      </c>
      <c r="C597" s="55" t="str">
        <f>IF(OR(A597&gt;TODAY(),COUNTIFS('Dados do Burndown'!E2:E780,13,'Dados do Burndown'!B2:B780,"&gt;0",'Dados do Burndown'!C2:C780,TRUE,'Dados do Burndown'!D2:D780,"",'Dados do Burndown'!F2:F780,"")+COUNTIFS('Dados do Burndown'!E2:E780,13,'Dados do Burndown'!B2:B780,"&gt;0",'Dados do Burndown'!C2:C780,TRUE,'Dados do Burndown'!D2:D780,"",'Dados do Burndown'!F2:F780,13)&gt;0),"",MAX(0,$B$16-SUMIFS('Dados do Burndown'!B2:B780,'Dados do Burndown'!E2:E780,13,'Dados do Burndown'!C2:C780,TRUE,'Dados do Burndown'!D2:D780,"&gt;0",'Dados do Burndown'!D2:D780,"&lt;="&amp;A597)-SUMIFS('Dados do Burndown'!B2:B780,'Dados do Burndown'!E2:E780,13,'Dados do Burndown'!C2:C780,TRUE,'Dados do Burndown'!D2:D780,"",'Dados do Burndown'!F2:F780,"&gt;0",'Dados do Burndown'!F2:F780,"&lt;"&amp;13)))</f>
        <v/>
      </c>
      <c r="D597" s="51">
        <v>2.0</v>
      </c>
    </row>
    <row r="598">
      <c r="A598" s="60">
        <f>$B$590+2</f>
        <v>46330</v>
      </c>
      <c r="B598" s="55">
        <f>$C$16*(7-3)/7</f>
        <v>10</v>
      </c>
      <c r="C598" s="55" t="str">
        <f>IF(OR(A598&gt;TODAY(),COUNTIFS('Dados do Burndown'!E2:E780,13,'Dados do Burndown'!B2:B780,"&gt;0",'Dados do Burndown'!C2:C780,TRUE,'Dados do Burndown'!D2:D780,"",'Dados do Burndown'!F2:F780,"")+COUNTIFS('Dados do Burndown'!E2:E780,13,'Dados do Burndown'!B2:B780,"&gt;0",'Dados do Burndown'!C2:C780,TRUE,'Dados do Burndown'!D2:D780,"",'Dados do Burndown'!F2:F780,13)&gt;0),"",MAX(0,$B$16-SUMIFS('Dados do Burndown'!B2:B780,'Dados do Burndown'!E2:E780,13,'Dados do Burndown'!C2:C780,TRUE,'Dados do Burndown'!D2:D780,"&gt;0",'Dados do Burndown'!D2:D780,"&lt;="&amp;A598)-SUMIFS('Dados do Burndown'!B2:B780,'Dados do Burndown'!E2:E780,13,'Dados do Burndown'!C2:C780,TRUE,'Dados do Burndown'!D2:D780,"",'Dados do Burndown'!F2:F780,"&gt;0",'Dados do Burndown'!F2:F780,"&lt;"&amp;13)))</f>
        <v/>
      </c>
      <c r="D598" s="51">
        <v>3.0</v>
      </c>
    </row>
    <row r="599">
      <c r="A599" s="60">
        <f>$B$590+3</f>
        <v>46331</v>
      </c>
      <c r="B599" s="55">
        <f>$C$16*(7-4)/7</f>
        <v>7.5</v>
      </c>
      <c r="C599" s="55" t="str">
        <f>IF(OR(A599&gt;TODAY(),COUNTIFS('Dados do Burndown'!E2:E780,13,'Dados do Burndown'!B2:B780,"&gt;0",'Dados do Burndown'!C2:C780,TRUE,'Dados do Burndown'!D2:D780,"",'Dados do Burndown'!F2:F780,"")+COUNTIFS('Dados do Burndown'!E2:E780,13,'Dados do Burndown'!B2:B780,"&gt;0",'Dados do Burndown'!C2:C780,TRUE,'Dados do Burndown'!D2:D780,"",'Dados do Burndown'!F2:F780,13)&gt;0),"",MAX(0,$B$16-SUMIFS('Dados do Burndown'!B2:B780,'Dados do Burndown'!E2:E780,13,'Dados do Burndown'!C2:C780,TRUE,'Dados do Burndown'!D2:D780,"&gt;0",'Dados do Burndown'!D2:D780,"&lt;="&amp;A599)-SUMIFS('Dados do Burndown'!B2:B780,'Dados do Burndown'!E2:E780,13,'Dados do Burndown'!C2:C780,TRUE,'Dados do Burndown'!D2:D780,"",'Dados do Burndown'!F2:F780,"&gt;0",'Dados do Burndown'!F2:F780,"&lt;"&amp;13)))</f>
        <v/>
      </c>
      <c r="D599" s="51">
        <v>4.0</v>
      </c>
    </row>
    <row r="600">
      <c r="A600" s="60">
        <f>$B$590+4</f>
        <v>46332</v>
      </c>
      <c r="B600" s="55">
        <f>$C$16*(7-5)/7</f>
        <v>5</v>
      </c>
      <c r="C600" s="55" t="str">
        <f>IF(OR(A600&gt;TODAY(),COUNTIFS('Dados do Burndown'!E2:E780,13,'Dados do Burndown'!B2:B780,"&gt;0",'Dados do Burndown'!C2:C780,TRUE,'Dados do Burndown'!D2:D780,"",'Dados do Burndown'!F2:F780,"")+COUNTIFS('Dados do Burndown'!E2:E780,13,'Dados do Burndown'!B2:B780,"&gt;0",'Dados do Burndown'!C2:C780,TRUE,'Dados do Burndown'!D2:D780,"",'Dados do Burndown'!F2:F780,13)&gt;0),"",MAX(0,$B$16-SUMIFS('Dados do Burndown'!B2:B780,'Dados do Burndown'!E2:E780,13,'Dados do Burndown'!C2:C780,TRUE,'Dados do Burndown'!D2:D780,"&gt;0",'Dados do Burndown'!D2:D780,"&lt;="&amp;A600)-SUMIFS('Dados do Burndown'!B2:B780,'Dados do Burndown'!E2:E780,13,'Dados do Burndown'!C2:C780,TRUE,'Dados do Burndown'!D2:D780,"",'Dados do Burndown'!F2:F780,"&gt;0",'Dados do Burndown'!F2:F780,"&lt;"&amp;13)))</f>
        <v/>
      </c>
      <c r="D600" s="51">
        <v>5.0</v>
      </c>
    </row>
    <row r="601">
      <c r="A601" s="60">
        <f>$B$590+5</f>
        <v>46333</v>
      </c>
      <c r="B601" s="55">
        <f>$C$16*(7-6)/7</f>
        <v>2.5</v>
      </c>
      <c r="C601" s="55" t="str">
        <f>IF(OR(A601&gt;TODAY(),COUNTIFS('Dados do Burndown'!E2:E780,13,'Dados do Burndown'!B2:B780,"&gt;0",'Dados do Burndown'!C2:C780,TRUE,'Dados do Burndown'!D2:D780,"",'Dados do Burndown'!F2:F780,"")+COUNTIFS('Dados do Burndown'!E2:E780,13,'Dados do Burndown'!B2:B780,"&gt;0",'Dados do Burndown'!C2:C780,TRUE,'Dados do Burndown'!D2:D780,"",'Dados do Burndown'!F2:F780,13)&gt;0),"",MAX(0,$B$16-SUMIFS('Dados do Burndown'!B2:B780,'Dados do Burndown'!E2:E780,13,'Dados do Burndown'!C2:C780,TRUE,'Dados do Burndown'!D2:D780,"&gt;0",'Dados do Burndown'!D2:D780,"&lt;="&amp;A601)-SUMIFS('Dados do Burndown'!B2:B780,'Dados do Burndown'!E2:E780,13,'Dados do Burndown'!C2:C780,TRUE,'Dados do Burndown'!D2:D780,"",'Dados do Burndown'!F2:F780,"&gt;0",'Dados do Burndown'!F2:F780,"&lt;"&amp;13)))</f>
        <v/>
      </c>
      <c r="D601" s="51">
        <v>6.0</v>
      </c>
    </row>
    <row r="602">
      <c r="A602" s="60">
        <f>$B$590+6</f>
        <v>46334</v>
      </c>
      <c r="B602" s="55">
        <f>$C$16*(7-7)/7</f>
        <v>0</v>
      </c>
      <c r="C602" s="55" t="str">
        <f>IF(OR(A602&gt;TODAY(),COUNTIFS('Dados do Burndown'!E2:E780,13,'Dados do Burndown'!B2:B780,"&gt;0",'Dados do Burndown'!C2:C780,TRUE,'Dados do Burndown'!D2:D780,"",'Dados do Burndown'!F2:F780,"")&gt;0),"",MAX(0,$B$16-SUMIFS('Dados do Burndown'!B2:B780,'Dados do Burndown'!E2:E780,13,'Dados do Burndown'!C2:C780,TRUE,'Dados do Burndown'!D2:D780,"&gt;0",'Dados do Burndown'!D2:D780,"&lt;="&amp;A602)-SUMIFS('Dados do Burndown'!B2:B780,'Dados do Burndown'!E2:E780,13,'Dados do Burndown'!C2:C780,TRUE,'Dados do Burndown'!D2:D780,"",'Dados do Burndown'!F2:F780,"&gt;0",'Dados do Burndown'!F2:F780,"&lt;="&amp;13)))</f>
        <v/>
      </c>
      <c r="D602" s="51">
        <v>7.0</v>
      </c>
    </row>
    <row r="604" ht="24.0" customHeight="1">
      <c r="A604" s="61"/>
    </row>
    <row r="605" ht="24.0" customHeight="1"/>
    <row r="608" ht="25.5" customHeight="1">
      <c r="A608" s="62" t="s">
        <v>143</v>
      </c>
      <c r="E608" s="63" t="s">
        <v>144</v>
      </c>
    </row>
    <row r="609">
      <c r="A609" s="64" t="str">
        <f>IFERROR(__xludf.DUMMYFUNCTION("IFNA(TEXTJOIN(CHAR(10),TRUE,FILTER('Dados do Burndown'!A2:A780,'Dados do Burndown'!A2:A780&lt;&gt;"""",'Dados do Burndown'!E2:E780=13)),""Nenhuma tarefa planejada"")"),"4.2.1.13 Reunião Semanal 13")</f>
        <v>4.2.1.13 Reunião Semanal 13</v>
      </c>
      <c r="E609" s="64" t="str">
        <f>IFERROR(__xludf.DUMMYFUNCTION("IFNA(TEXTJOIN(CHAR(10),TRUE,FILTER('Dados do Burndown'!A2:A780,'Dados do Burndown'!A2:A780&lt;&gt;"""",'Dados do Burndown'!E2:E780=13,'Dados do Burndown'!C2:C780=TRUE,((('Dados do Burndown'!D2:D780&lt;=$B$591)*('Dados do Burndown'!D2:D780&gt;0))+(('Dados do Burndown'"&amp;"!D2:D780="""")*('Dados do Burndown'!F2:F780&gt;0)*('Dados do Burndown'!F2:F780&lt;=13)))&gt;0)),""Nenhuma tarefa do escopo concluída"")"),"Nenhuma tarefa do escopo concluída")</f>
        <v>Nenhuma tarefa do escopo concluída</v>
      </c>
    </row>
    <row r="634">
      <c r="A634" s="57" t="s">
        <v>157</v>
      </c>
    </row>
    <row r="635">
      <c r="A635" s="51" t="s">
        <v>135</v>
      </c>
      <c r="B635" s="55">
        <f>B17</f>
        <v>17.5</v>
      </c>
    </row>
    <row r="636">
      <c r="A636" s="51" t="s">
        <v>131</v>
      </c>
      <c r="B636" s="8" t="str">
        <f>E17</f>
        <v>Futura</v>
      </c>
    </row>
    <row r="637">
      <c r="A637" s="51" t="s">
        <v>136</v>
      </c>
      <c r="B637" s="9">
        <f>'Dados do Burndown'!R15</f>
        <v>46335</v>
      </c>
    </row>
    <row r="638">
      <c r="A638" s="51" t="s">
        <v>137</v>
      </c>
      <c r="B638" s="9">
        <f>B637+6</f>
        <v>46341</v>
      </c>
      <c r="C638" s="51"/>
    </row>
    <row r="639">
      <c r="A639" s="51" t="s">
        <v>132</v>
      </c>
      <c r="B639" s="8">
        <f>F17</f>
        <v>0</v>
      </c>
    </row>
    <row r="640">
      <c r="A640" s="51"/>
      <c r="B640" s="51"/>
    </row>
    <row r="641">
      <c r="A641" s="49" t="s">
        <v>138</v>
      </c>
      <c r="B641" s="58" t="s">
        <v>139</v>
      </c>
      <c r="C641" s="58" t="s">
        <v>140</v>
      </c>
      <c r="D641" s="51" t="s">
        <v>141</v>
      </c>
    </row>
    <row r="642">
      <c r="A642" s="59" t="s">
        <v>142</v>
      </c>
      <c r="B642" s="55">
        <f>$C$17*(7-0)/7</f>
        <v>17.5</v>
      </c>
      <c r="C642" s="55">
        <f>$C$17</f>
        <v>17.5</v>
      </c>
      <c r="D642" s="51">
        <v>0.0</v>
      </c>
    </row>
    <row r="643">
      <c r="A643" s="60">
        <f>$B$637+0</f>
        <v>46335</v>
      </c>
      <c r="B643" s="55">
        <f>$C$17*(7-1)/7</f>
        <v>15</v>
      </c>
      <c r="C643" s="55" t="str">
        <f>IF(OR(A643&gt;TODAY(),COUNTIFS('Dados do Burndown'!E2:E780,14,'Dados do Burndown'!B2:B780,"&gt;0",'Dados do Burndown'!C2:C780,TRUE,'Dados do Burndown'!D2:D780,"",'Dados do Burndown'!F2:F780,"")+COUNTIFS('Dados do Burndown'!E2:E780,14,'Dados do Burndown'!B2:B780,"&gt;0",'Dados do Burndown'!C2:C780,TRUE,'Dados do Burndown'!D2:D780,"",'Dados do Burndown'!F2:F780,14)&gt;0),"",MAX(0,$B$17-SUMIFS('Dados do Burndown'!B2:B780,'Dados do Burndown'!E2:E780,14,'Dados do Burndown'!C2:C780,TRUE,'Dados do Burndown'!D2:D780,"&gt;0",'Dados do Burndown'!D2:D780,"&lt;="&amp;A643)-SUMIFS('Dados do Burndown'!B2:B780,'Dados do Burndown'!E2:E780,14,'Dados do Burndown'!C2:C780,TRUE,'Dados do Burndown'!D2:D780,"",'Dados do Burndown'!F2:F780,"&gt;0",'Dados do Burndown'!F2:F780,"&lt;"&amp;14)))</f>
        <v/>
      </c>
      <c r="D643" s="51">
        <v>1.0</v>
      </c>
    </row>
    <row r="644">
      <c r="A644" s="60">
        <f>$B$637+1</f>
        <v>46336</v>
      </c>
      <c r="B644" s="55">
        <f>$C$17*(7-2)/7</f>
        <v>12.5</v>
      </c>
      <c r="C644" s="55" t="str">
        <f>IF(OR(A644&gt;TODAY(),COUNTIFS('Dados do Burndown'!E2:E780,14,'Dados do Burndown'!B2:B780,"&gt;0",'Dados do Burndown'!C2:C780,TRUE,'Dados do Burndown'!D2:D780,"",'Dados do Burndown'!F2:F780,"")+COUNTIFS('Dados do Burndown'!E2:E780,14,'Dados do Burndown'!B2:B780,"&gt;0",'Dados do Burndown'!C2:C780,TRUE,'Dados do Burndown'!D2:D780,"",'Dados do Burndown'!F2:F780,14)&gt;0),"",MAX(0,$B$17-SUMIFS('Dados do Burndown'!B2:B780,'Dados do Burndown'!E2:E780,14,'Dados do Burndown'!C2:C780,TRUE,'Dados do Burndown'!D2:D780,"&gt;0",'Dados do Burndown'!D2:D780,"&lt;="&amp;A644)-SUMIFS('Dados do Burndown'!B2:B780,'Dados do Burndown'!E2:E780,14,'Dados do Burndown'!C2:C780,TRUE,'Dados do Burndown'!D2:D780,"",'Dados do Burndown'!F2:F780,"&gt;0",'Dados do Burndown'!F2:F780,"&lt;"&amp;14)))</f>
        <v/>
      </c>
      <c r="D644" s="51">
        <v>2.0</v>
      </c>
    </row>
    <row r="645">
      <c r="A645" s="60">
        <f>$B$637+2</f>
        <v>46337</v>
      </c>
      <c r="B645" s="55">
        <f>$C$17*(7-3)/7</f>
        <v>10</v>
      </c>
      <c r="C645" s="55" t="str">
        <f>IF(OR(A645&gt;TODAY(),COUNTIFS('Dados do Burndown'!E2:E780,14,'Dados do Burndown'!B2:B780,"&gt;0",'Dados do Burndown'!C2:C780,TRUE,'Dados do Burndown'!D2:D780,"",'Dados do Burndown'!F2:F780,"")+COUNTIFS('Dados do Burndown'!E2:E780,14,'Dados do Burndown'!B2:B780,"&gt;0",'Dados do Burndown'!C2:C780,TRUE,'Dados do Burndown'!D2:D780,"",'Dados do Burndown'!F2:F780,14)&gt;0),"",MAX(0,$B$17-SUMIFS('Dados do Burndown'!B2:B780,'Dados do Burndown'!E2:E780,14,'Dados do Burndown'!C2:C780,TRUE,'Dados do Burndown'!D2:D780,"&gt;0",'Dados do Burndown'!D2:D780,"&lt;="&amp;A645)-SUMIFS('Dados do Burndown'!B2:B780,'Dados do Burndown'!E2:E780,14,'Dados do Burndown'!C2:C780,TRUE,'Dados do Burndown'!D2:D780,"",'Dados do Burndown'!F2:F780,"&gt;0",'Dados do Burndown'!F2:F780,"&lt;"&amp;14)))</f>
        <v/>
      </c>
      <c r="D645" s="51">
        <v>3.0</v>
      </c>
    </row>
    <row r="646">
      <c r="A646" s="60">
        <f>$B$637+3</f>
        <v>46338</v>
      </c>
      <c r="B646" s="55">
        <f>$C$17*(7-4)/7</f>
        <v>7.5</v>
      </c>
      <c r="C646" s="55" t="str">
        <f>IF(OR(A646&gt;TODAY(),COUNTIFS('Dados do Burndown'!E2:E780,14,'Dados do Burndown'!B2:B780,"&gt;0",'Dados do Burndown'!C2:C780,TRUE,'Dados do Burndown'!D2:D780,"",'Dados do Burndown'!F2:F780,"")+COUNTIFS('Dados do Burndown'!E2:E780,14,'Dados do Burndown'!B2:B780,"&gt;0",'Dados do Burndown'!C2:C780,TRUE,'Dados do Burndown'!D2:D780,"",'Dados do Burndown'!F2:F780,14)&gt;0),"",MAX(0,$B$17-SUMIFS('Dados do Burndown'!B2:B780,'Dados do Burndown'!E2:E780,14,'Dados do Burndown'!C2:C780,TRUE,'Dados do Burndown'!D2:D780,"&gt;0",'Dados do Burndown'!D2:D780,"&lt;="&amp;A646)-SUMIFS('Dados do Burndown'!B2:B780,'Dados do Burndown'!E2:E780,14,'Dados do Burndown'!C2:C780,TRUE,'Dados do Burndown'!D2:D780,"",'Dados do Burndown'!F2:F780,"&gt;0",'Dados do Burndown'!F2:F780,"&lt;"&amp;14)))</f>
        <v/>
      </c>
      <c r="D646" s="51">
        <v>4.0</v>
      </c>
    </row>
    <row r="647">
      <c r="A647" s="60">
        <f>$B$637+4</f>
        <v>46339</v>
      </c>
      <c r="B647" s="55">
        <f>$C$17*(7-5)/7</f>
        <v>5</v>
      </c>
      <c r="C647" s="55" t="str">
        <f>IF(OR(A647&gt;TODAY(),COUNTIFS('Dados do Burndown'!E2:E780,14,'Dados do Burndown'!B2:B780,"&gt;0",'Dados do Burndown'!C2:C780,TRUE,'Dados do Burndown'!D2:D780,"",'Dados do Burndown'!F2:F780,"")+COUNTIFS('Dados do Burndown'!E2:E780,14,'Dados do Burndown'!B2:B780,"&gt;0",'Dados do Burndown'!C2:C780,TRUE,'Dados do Burndown'!D2:D780,"",'Dados do Burndown'!F2:F780,14)&gt;0),"",MAX(0,$B$17-SUMIFS('Dados do Burndown'!B2:B780,'Dados do Burndown'!E2:E780,14,'Dados do Burndown'!C2:C780,TRUE,'Dados do Burndown'!D2:D780,"&gt;0",'Dados do Burndown'!D2:D780,"&lt;="&amp;A647)-SUMIFS('Dados do Burndown'!B2:B780,'Dados do Burndown'!E2:E780,14,'Dados do Burndown'!C2:C780,TRUE,'Dados do Burndown'!D2:D780,"",'Dados do Burndown'!F2:F780,"&gt;0",'Dados do Burndown'!F2:F780,"&lt;"&amp;14)))</f>
        <v/>
      </c>
      <c r="D647" s="51">
        <v>5.0</v>
      </c>
    </row>
    <row r="648">
      <c r="A648" s="60">
        <f>$B$637+5</f>
        <v>46340</v>
      </c>
      <c r="B648" s="55">
        <f>$C$17*(7-6)/7</f>
        <v>2.5</v>
      </c>
      <c r="C648" s="55" t="str">
        <f>IF(OR(A648&gt;TODAY(),COUNTIFS('Dados do Burndown'!E2:E780,14,'Dados do Burndown'!B2:B780,"&gt;0",'Dados do Burndown'!C2:C780,TRUE,'Dados do Burndown'!D2:D780,"",'Dados do Burndown'!F2:F780,"")+COUNTIFS('Dados do Burndown'!E2:E780,14,'Dados do Burndown'!B2:B780,"&gt;0",'Dados do Burndown'!C2:C780,TRUE,'Dados do Burndown'!D2:D780,"",'Dados do Burndown'!F2:F780,14)&gt;0),"",MAX(0,$B$17-SUMIFS('Dados do Burndown'!B2:B780,'Dados do Burndown'!E2:E780,14,'Dados do Burndown'!C2:C780,TRUE,'Dados do Burndown'!D2:D780,"&gt;0",'Dados do Burndown'!D2:D780,"&lt;="&amp;A648)-SUMIFS('Dados do Burndown'!B2:B780,'Dados do Burndown'!E2:E780,14,'Dados do Burndown'!C2:C780,TRUE,'Dados do Burndown'!D2:D780,"",'Dados do Burndown'!F2:F780,"&gt;0",'Dados do Burndown'!F2:F780,"&lt;"&amp;14)))</f>
        <v/>
      </c>
      <c r="D648" s="51">
        <v>6.0</v>
      </c>
    </row>
    <row r="649">
      <c r="A649" s="60">
        <f>$B$637+6</f>
        <v>46341</v>
      </c>
      <c r="B649" s="55">
        <f>$C$17*(7-7)/7</f>
        <v>0</v>
      </c>
      <c r="C649" s="55" t="str">
        <f>IF(OR(A649&gt;TODAY(),COUNTIFS('Dados do Burndown'!E2:E780,14,'Dados do Burndown'!B2:B780,"&gt;0",'Dados do Burndown'!C2:C780,TRUE,'Dados do Burndown'!D2:D780,"",'Dados do Burndown'!F2:F780,"")&gt;0),"",MAX(0,$B$17-SUMIFS('Dados do Burndown'!B2:B780,'Dados do Burndown'!E2:E780,14,'Dados do Burndown'!C2:C780,TRUE,'Dados do Burndown'!D2:D780,"&gt;0",'Dados do Burndown'!D2:D780,"&lt;="&amp;A649)-SUMIFS('Dados do Burndown'!B2:B780,'Dados do Burndown'!E2:E780,14,'Dados do Burndown'!C2:C780,TRUE,'Dados do Burndown'!D2:D780,"",'Dados do Burndown'!F2:F780,"&gt;0",'Dados do Burndown'!F2:F780,"&lt;="&amp;14)))</f>
        <v/>
      </c>
      <c r="D649" s="51">
        <v>7.0</v>
      </c>
    </row>
    <row r="651" ht="24.0" customHeight="1">
      <c r="A651" s="61"/>
    </row>
    <row r="652" ht="24.0" customHeight="1"/>
    <row r="655" ht="25.5" customHeight="1">
      <c r="A655" s="62" t="s">
        <v>143</v>
      </c>
      <c r="E655" s="63" t="s">
        <v>144</v>
      </c>
    </row>
    <row r="656">
      <c r="A656" s="64" t="str">
        <f>IFERROR(__xludf.DUMMYFUNCTION("IFNA(TEXTJOIN(CHAR(10),TRUE,FILTER('Dados do Burndown'!A2:A780,'Dados do Burndown'!A2:A780&lt;&gt;"""",'Dados do Burndown'!E2:E780=14)),""Nenhuma tarefa planejada"")"),"4.2.1.14 Reunião Semanal 14")</f>
        <v>4.2.1.14 Reunião Semanal 14</v>
      </c>
      <c r="E656" s="64" t="str">
        <f>IFERROR(__xludf.DUMMYFUNCTION("IFNA(TEXTJOIN(CHAR(10),TRUE,FILTER('Dados do Burndown'!A2:A780,'Dados do Burndown'!A2:A780&lt;&gt;"""",'Dados do Burndown'!E2:E780=14,'Dados do Burndown'!C2:C780=TRUE,((('Dados do Burndown'!D2:D780&lt;=$B$638)*('Dados do Burndown'!D2:D780&gt;0))+(('Dados do Burndown'"&amp;"!D2:D780="""")*('Dados do Burndown'!F2:F780&gt;0)*('Dados do Burndown'!F2:F780&lt;=14)))&gt;0)),""Nenhuma tarefa do escopo concluída"")"),"Nenhuma tarefa do escopo concluída")</f>
        <v>Nenhuma tarefa do escopo concluída</v>
      </c>
    </row>
    <row r="681">
      <c r="A681" s="57" t="s">
        <v>158</v>
      </c>
    </row>
    <row r="682">
      <c r="A682" s="51" t="s">
        <v>135</v>
      </c>
      <c r="B682" s="55">
        <f>B18</f>
        <v>38.5</v>
      </c>
    </row>
    <row r="683">
      <c r="A683" s="51" t="s">
        <v>131</v>
      </c>
      <c r="B683" s="8" t="str">
        <f>E18</f>
        <v>Futura</v>
      </c>
    </row>
    <row r="684">
      <c r="A684" s="51" t="s">
        <v>136</v>
      </c>
      <c r="B684" s="9">
        <f>'Dados do Burndown'!R16</f>
        <v>46342</v>
      </c>
    </row>
    <row r="685">
      <c r="A685" s="51" t="s">
        <v>137</v>
      </c>
      <c r="B685" s="9">
        <f>B684+6</f>
        <v>46348</v>
      </c>
      <c r="C685" s="51"/>
    </row>
    <row r="686">
      <c r="A686" s="51" t="s">
        <v>132</v>
      </c>
      <c r="B686" s="8">
        <f>F18</f>
        <v>0</v>
      </c>
    </row>
    <row r="687">
      <c r="A687" s="51"/>
      <c r="B687" s="51"/>
    </row>
    <row r="688">
      <c r="A688" s="49" t="s">
        <v>138</v>
      </c>
      <c r="B688" s="58" t="s">
        <v>139</v>
      </c>
      <c r="C688" s="58" t="s">
        <v>140</v>
      </c>
      <c r="D688" s="51" t="s">
        <v>141</v>
      </c>
    </row>
    <row r="689">
      <c r="A689" s="59" t="s">
        <v>142</v>
      </c>
      <c r="B689" s="55">
        <f>$C$18*(7-0)/7</f>
        <v>38.5</v>
      </c>
      <c r="C689" s="55">
        <f>$C$18</f>
        <v>38.5</v>
      </c>
      <c r="D689" s="51">
        <v>0.0</v>
      </c>
    </row>
    <row r="690">
      <c r="A690" s="60">
        <f>$B$684+0</f>
        <v>46342</v>
      </c>
      <c r="B690" s="55">
        <f>$C$18*(7-1)/7</f>
        <v>33</v>
      </c>
      <c r="C690" s="55" t="str">
        <f>IF(OR(A690&gt;TODAY(),COUNTIFS('Dados do Burndown'!E2:E780,15,'Dados do Burndown'!B2:B780,"&gt;0",'Dados do Burndown'!C2:C780,TRUE,'Dados do Burndown'!D2:D780,"",'Dados do Burndown'!F2:F780,"")+COUNTIFS('Dados do Burndown'!E2:E780,15,'Dados do Burndown'!B2:B780,"&gt;0",'Dados do Burndown'!C2:C780,TRUE,'Dados do Burndown'!D2:D780,"",'Dados do Burndown'!F2:F780,15)&gt;0),"",MAX(0,$B$18-SUMIFS('Dados do Burndown'!B2:B780,'Dados do Burndown'!E2:E780,15,'Dados do Burndown'!C2:C780,TRUE,'Dados do Burndown'!D2:D780,"&gt;0",'Dados do Burndown'!D2:D780,"&lt;="&amp;A690)-SUMIFS('Dados do Burndown'!B2:B780,'Dados do Burndown'!E2:E780,15,'Dados do Burndown'!C2:C780,TRUE,'Dados do Burndown'!D2:D780,"",'Dados do Burndown'!F2:F780,"&gt;0",'Dados do Burndown'!F2:F780,"&lt;"&amp;15)))</f>
        <v/>
      </c>
      <c r="D690" s="51">
        <v>1.0</v>
      </c>
    </row>
    <row r="691">
      <c r="A691" s="60">
        <f>$B$684+1</f>
        <v>46343</v>
      </c>
      <c r="B691" s="55">
        <f>$C$18*(7-2)/7</f>
        <v>27.5</v>
      </c>
      <c r="C691" s="55" t="str">
        <f>IF(OR(A691&gt;TODAY(),COUNTIFS('Dados do Burndown'!E2:E780,15,'Dados do Burndown'!B2:B780,"&gt;0",'Dados do Burndown'!C2:C780,TRUE,'Dados do Burndown'!D2:D780,"",'Dados do Burndown'!F2:F780,"")+COUNTIFS('Dados do Burndown'!E2:E780,15,'Dados do Burndown'!B2:B780,"&gt;0",'Dados do Burndown'!C2:C780,TRUE,'Dados do Burndown'!D2:D780,"",'Dados do Burndown'!F2:F780,15)&gt;0),"",MAX(0,$B$18-SUMIFS('Dados do Burndown'!B2:B780,'Dados do Burndown'!E2:E780,15,'Dados do Burndown'!C2:C780,TRUE,'Dados do Burndown'!D2:D780,"&gt;0",'Dados do Burndown'!D2:D780,"&lt;="&amp;A691)-SUMIFS('Dados do Burndown'!B2:B780,'Dados do Burndown'!E2:E780,15,'Dados do Burndown'!C2:C780,TRUE,'Dados do Burndown'!D2:D780,"",'Dados do Burndown'!F2:F780,"&gt;0",'Dados do Burndown'!F2:F780,"&lt;"&amp;15)))</f>
        <v/>
      </c>
      <c r="D691" s="51">
        <v>2.0</v>
      </c>
    </row>
    <row r="692">
      <c r="A692" s="60">
        <f>$B$684+2</f>
        <v>46344</v>
      </c>
      <c r="B692" s="55">
        <f>$C$18*(7-3)/7</f>
        <v>22</v>
      </c>
      <c r="C692" s="55" t="str">
        <f>IF(OR(A692&gt;TODAY(),COUNTIFS('Dados do Burndown'!E2:E780,15,'Dados do Burndown'!B2:B780,"&gt;0",'Dados do Burndown'!C2:C780,TRUE,'Dados do Burndown'!D2:D780,"",'Dados do Burndown'!F2:F780,"")+COUNTIFS('Dados do Burndown'!E2:E780,15,'Dados do Burndown'!B2:B780,"&gt;0",'Dados do Burndown'!C2:C780,TRUE,'Dados do Burndown'!D2:D780,"",'Dados do Burndown'!F2:F780,15)&gt;0),"",MAX(0,$B$18-SUMIFS('Dados do Burndown'!B2:B780,'Dados do Burndown'!E2:E780,15,'Dados do Burndown'!C2:C780,TRUE,'Dados do Burndown'!D2:D780,"&gt;0",'Dados do Burndown'!D2:D780,"&lt;="&amp;A692)-SUMIFS('Dados do Burndown'!B2:B780,'Dados do Burndown'!E2:E780,15,'Dados do Burndown'!C2:C780,TRUE,'Dados do Burndown'!D2:D780,"",'Dados do Burndown'!F2:F780,"&gt;0",'Dados do Burndown'!F2:F780,"&lt;"&amp;15)))</f>
        <v/>
      </c>
      <c r="D692" s="51">
        <v>3.0</v>
      </c>
    </row>
    <row r="693">
      <c r="A693" s="60">
        <f>$B$684+3</f>
        <v>46345</v>
      </c>
      <c r="B693" s="55">
        <f>$C$18*(7-4)/7</f>
        <v>16.5</v>
      </c>
      <c r="C693" s="55" t="str">
        <f>IF(OR(A693&gt;TODAY(),COUNTIFS('Dados do Burndown'!E2:E780,15,'Dados do Burndown'!B2:B780,"&gt;0",'Dados do Burndown'!C2:C780,TRUE,'Dados do Burndown'!D2:D780,"",'Dados do Burndown'!F2:F780,"")+COUNTIFS('Dados do Burndown'!E2:E780,15,'Dados do Burndown'!B2:B780,"&gt;0",'Dados do Burndown'!C2:C780,TRUE,'Dados do Burndown'!D2:D780,"",'Dados do Burndown'!F2:F780,15)&gt;0),"",MAX(0,$B$18-SUMIFS('Dados do Burndown'!B2:B780,'Dados do Burndown'!E2:E780,15,'Dados do Burndown'!C2:C780,TRUE,'Dados do Burndown'!D2:D780,"&gt;0",'Dados do Burndown'!D2:D780,"&lt;="&amp;A693)-SUMIFS('Dados do Burndown'!B2:B780,'Dados do Burndown'!E2:E780,15,'Dados do Burndown'!C2:C780,TRUE,'Dados do Burndown'!D2:D780,"",'Dados do Burndown'!F2:F780,"&gt;0",'Dados do Burndown'!F2:F780,"&lt;"&amp;15)))</f>
        <v/>
      </c>
      <c r="D693" s="51">
        <v>4.0</v>
      </c>
    </row>
    <row r="694">
      <c r="A694" s="60">
        <f>$B$684+4</f>
        <v>46346</v>
      </c>
      <c r="B694" s="55">
        <f>$C$18*(7-5)/7</f>
        <v>11</v>
      </c>
      <c r="C694" s="55" t="str">
        <f>IF(OR(A694&gt;TODAY(),COUNTIFS('Dados do Burndown'!E2:E780,15,'Dados do Burndown'!B2:B780,"&gt;0",'Dados do Burndown'!C2:C780,TRUE,'Dados do Burndown'!D2:D780,"",'Dados do Burndown'!F2:F780,"")+COUNTIFS('Dados do Burndown'!E2:E780,15,'Dados do Burndown'!B2:B780,"&gt;0",'Dados do Burndown'!C2:C780,TRUE,'Dados do Burndown'!D2:D780,"",'Dados do Burndown'!F2:F780,15)&gt;0),"",MAX(0,$B$18-SUMIFS('Dados do Burndown'!B2:B780,'Dados do Burndown'!E2:E780,15,'Dados do Burndown'!C2:C780,TRUE,'Dados do Burndown'!D2:D780,"&gt;0",'Dados do Burndown'!D2:D780,"&lt;="&amp;A694)-SUMIFS('Dados do Burndown'!B2:B780,'Dados do Burndown'!E2:E780,15,'Dados do Burndown'!C2:C780,TRUE,'Dados do Burndown'!D2:D780,"",'Dados do Burndown'!F2:F780,"&gt;0",'Dados do Burndown'!F2:F780,"&lt;"&amp;15)))</f>
        <v/>
      </c>
      <c r="D694" s="51">
        <v>5.0</v>
      </c>
    </row>
    <row r="695">
      <c r="A695" s="60">
        <f>$B$684+5</f>
        <v>46347</v>
      </c>
      <c r="B695" s="55">
        <f>$C$18*(7-6)/7</f>
        <v>5.5</v>
      </c>
      <c r="C695" s="55" t="str">
        <f>IF(OR(A695&gt;TODAY(),COUNTIFS('Dados do Burndown'!E2:E780,15,'Dados do Burndown'!B2:B780,"&gt;0",'Dados do Burndown'!C2:C780,TRUE,'Dados do Burndown'!D2:D780,"",'Dados do Burndown'!F2:F780,"")+COUNTIFS('Dados do Burndown'!E2:E780,15,'Dados do Burndown'!B2:B780,"&gt;0",'Dados do Burndown'!C2:C780,TRUE,'Dados do Burndown'!D2:D780,"",'Dados do Burndown'!F2:F780,15)&gt;0),"",MAX(0,$B$18-SUMIFS('Dados do Burndown'!B2:B780,'Dados do Burndown'!E2:E780,15,'Dados do Burndown'!C2:C780,TRUE,'Dados do Burndown'!D2:D780,"&gt;0",'Dados do Burndown'!D2:D780,"&lt;="&amp;A695)-SUMIFS('Dados do Burndown'!B2:B780,'Dados do Burndown'!E2:E780,15,'Dados do Burndown'!C2:C780,TRUE,'Dados do Burndown'!D2:D780,"",'Dados do Burndown'!F2:F780,"&gt;0",'Dados do Burndown'!F2:F780,"&lt;"&amp;15)))</f>
        <v/>
      </c>
      <c r="D695" s="51">
        <v>6.0</v>
      </c>
    </row>
    <row r="696">
      <c r="A696" s="60">
        <f>$B$684+6</f>
        <v>46348</v>
      </c>
      <c r="B696" s="55">
        <f>$C$18*(7-7)/7</f>
        <v>0</v>
      </c>
      <c r="C696" s="55" t="str">
        <f>IF(OR(A696&gt;TODAY(),COUNTIFS('Dados do Burndown'!E2:E780,15,'Dados do Burndown'!B2:B780,"&gt;0",'Dados do Burndown'!C2:C780,TRUE,'Dados do Burndown'!D2:D780,"",'Dados do Burndown'!F2:F780,"")&gt;0),"",MAX(0,$B$18-SUMIFS('Dados do Burndown'!B2:B780,'Dados do Burndown'!E2:E780,15,'Dados do Burndown'!C2:C780,TRUE,'Dados do Burndown'!D2:D780,"&gt;0",'Dados do Burndown'!D2:D780,"&lt;="&amp;A696)-SUMIFS('Dados do Burndown'!B2:B780,'Dados do Burndown'!E2:E780,15,'Dados do Burndown'!C2:C780,TRUE,'Dados do Burndown'!D2:D780,"",'Dados do Burndown'!F2:F780,"&gt;0",'Dados do Burndown'!F2:F780,"&lt;="&amp;15)))</f>
        <v/>
      </c>
      <c r="D696" s="51">
        <v>7.0</v>
      </c>
    </row>
    <row r="698" ht="24.0" customHeight="1">
      <c r="A698" s="61"/>
    </row>
    <row r="699" ht="24.0" customHeight="1"/>
    <row r="702" ht="25.5" customHeight="1">
      <c r="A702" s="62" t="s">
        <v>143</v>
      </c>
      <c r="E702" s="63" t="s">
        <v>144</v>
      </c>
    </row>
    <row r="703">
      <c r="A703" s="64" t="str">
        <f>IFERROR(__xludf.DUMMYFUNCTION("IFNA(TEXTJOIN(CHAR(10),TRUE,FILTER('Dados do Burndown'!A2:A780,'Dados do Burndown'!A2:A780&lt;&gt;"""",'Dados do Burndown'!E2:E780=15)),""Nenhuma tarefa planejada"")"),"4.3.1 Gerenciamento de Issues
5.1 Testes de Integração
5.2 Testes E2E
4.2.1.15 Reunião Semanal 15")</f>
        <v>4.3.1 Gerenciamento de Issues
5.1 Testes de Integração
5.2 Testes E2E
4.2.1.15 Reunião Semanal 15</v>
      </c>
      <c r="E703" s="64" t="str">
        <f>IFERROR(__xludf.DUMMYFUNCTION("IFNA(TEXTJOIN(CHAR(10),TRUE,FILTER('Dados do Burndown'!A2:A780,'Dados do Burndown'!A2:A780&lt;&gt;"""",'Dados do Burndown'!E2:E780=15,'Dados do Burndown'!C2:C780=TRUE,((('Dados do Burndown'!D2:D780&lt;=$B$685)*('Dados do Burndown'!D2:D780&gt;0))+(('Dados do Burndown'"&amp;"!D2:D780="""")*('Dados do Burndown'!F2:F780&gt;0)*('Dados do Burndown'!F2:F780&lt;=15)))&gt;0)),""Nenhuma tarefa do escopo concluída"")"),"Nenhuma tarefa do escopo concluída")</f>
        <v>Nenhuma tarefa do escopo concluída</v>
      </c>
    </row>
    <row r="728">
      <c r="A728" s="57" t="s">
        <v>159</v>
      </c>
    </row>
    <row r="729">
      <c r="A729" s="51" t="s">
        <v>135</v>
      </c>
      <c r="B729" s="55">
        <f>B19</f>
        <v>21</v>
      </c>
    </row>
    <row r="730">
      <c r="A730" s="51" t="s">
        <v>131</v>
      </c>
      <c r="B730" s="8" t="str">
        <f>E19</f>
        <v>Futura</v>
      </c>
    </row>
    <row r="731">
      <c r="A731" s="51" t="s">
        <v>136</v>
      </c>
      <c r="B731" s="9">
        <f>'Dados do Burndown'!R17</f>
        <v>46349</v>
      </c>
    </row>
    <row r="732">
      <c r="A732" s="51" t="s">
        <v>137</v>
      </c>
      <c r="B732" s="9">
        <f>B731+6</f>
        <v>46355</v>
      </c>
      <c r="C732" s="51"/>
    </row>
    <row r="733">
      <c r="A733" s="51" t="s">
        <v>132</v>
      </c>
      <c r="B733" s="8">
        <f>F19</f>
        <v>0</v>
      </c>
    </row>
    <row r="734">
      <c r="A734" s="51"/>
      <c r="B734" s="51"/>
    </row>
    <row r="735">
      <c r="A735" s="49" t="s">
        <v>138</v>
      </c>
      <c r="B735" s="58" t="s">
        <v>139</v>
      </c>
      <c r="C735" s="58" t="s">
        <v>140</v>
      </c>
      <c r="D735" s="51" t="s">
        <v>141</v>
      </c>
    </row>
    <row r="736">
      <c r="A736" s="59" t="s">
        <v>142</v>
      </c>
      <c r="B736" s="55">
        <f>$C$19*(7-0)/7</f>
        <v>21</v>
      </c>
      <c r="C736" s="55">
        <f>$C$19</f>
        <v>21</v>
      </c>
      <c r="D736" s="51">
        <v>0.0</v>
      </c>
    </row>
    <row r="737">
      <c r="A737" s="60">
        <f>$B$731+0</f>
        <v>46349</v>
      </c>
      <c r="B737" s="55">
        <f>$C$19*(7-1)/7</f>
        <v>18</v>
      </c>
      <c r="C737" s="55" t="str">
        <f>IF(OR(A737&gt;TODAY(),COUNTIFS('Dados do Burndown'!E2:E780,16,'Dados do Burndown'!B2:B780,"&gt;0",'Dados do Burndown'!C2:C780,TRUE,'Dados do Burndown'!D2:D780,"",'Dados do Burndown'!F2:F780,"")+COUNTIFS('Dados do Burndown'!E2:E780,16,'Dados do Burndown'!B2:B780,"&gt;0",'Dados do Burndown'!C2:C780,TRUE,'Dados do Burndown'!D2:D780,"",'Dados do Burndown'!F2:F780,16)&gt;0),"",MAX(0,$B$19-SUMIFS('Dados do Burndown'!B2:B780,'Dados do Burndown'!E2:E780,16,'Dados do Burndown'!C2:C780,TRUE,'Dados do Burndown'!D2:D780,"&gt;0",'Dados do Burndown'!D2:D780,"&lt;="&amp;A737)-SUMIFS('Dados do Burndown'!B2:B780,'Dados do Burndown'!E2:E780,16,'Dados do Burndown'!C2:C780,TRUE,'Dados do Burndown'!D2:D780,"",'Dados do Burndown'!F2:F780,"&gt;0",'Dados do Burndown'!F2:F780,"&lt;"&amp;16)))</f>
        <v/>
      </c>
      <c r="D737" s="51">
        <v>1.0</v>
      </c>
    </row>
    <row r="738">
      <c r="A738" s="60">
        <f>$B$731+1</f>
        <v>46350</v>
      </c>
      <c r="B738" s="55">
        <f>$C$19*(7-2)/7</f>
        <v>15</v>
      </c>
      <c r="C738" s="55" t="str">
        <f>IF(OR(A738&gt;TODAY(),COUNTIFS('Dados do Burndown'!E2:E780,16,'Dados do Burndown'!B2:B780,"&gt;0",'Dados do Burndown'!C2:C780,TRUE,'Dados do Burndown'!D2:D780,"",'Dados do Burndown'!F2:F780,"")+COUNTIFS('Dados do Burndown'!E2:E780,16,'Dados do Burndown'!B2:B780,"&gt;0",'Dados do Burndown'!C2:C780,TRUE,'Dados do Burndown'!D2:D780,"",'Dados do Burndown'!F2:F780,16)&gt;0),"",MAX(0,$B$19-SUMIFS('Dados do Burndown'!B2:B780,'Dados do Burndown'!E2:E780,16,'Dados do Burndown'!C2:C780,TRUE,'Dados do Burndown'!D2:D780,"&gt;0",'Dados do Burndown'!D2:D780,"&lt;="&amp;A738)-SUMIFS('Dados do Burndown'!B2:B780,'Dados do Burndown'!E2:E780,16,'Dados do Burndown'!C2:C780,TRUE,'Dados do Burndown'!D2:D780,"",'Dados do Burndown'!F2:F780,"&gt;0",'Dados do Burndown'!F2:F780,"&lt;"&amp;16)))</f>
        <v/>
      </c>
      <c r="D738" s="51">
        <v>2.0</v>
      </c>
    </row>
    <row r="739">
      <c r="A739" s="60">
        <f>$B$731+2</f>
        <v>46351</v>
      </c>
      <c r="B739" s="55">
        <f>$C$19*(7-3)/7</f>
        <v>12</v>
      </c>
      <c r="C739" s="55" t="str">
        <f>IF(OR(A739&gt;TODAY(),COUNTIFS('Dados do Burndown'!E2:E780,16,'Dados do Burndown'!B2:B780,"&gt;0",'Dados do Burndown'!C2:C780,TRUE,'Dados do Burndown'!D2:D780,"",'Dados do Burndown'!F2:F780,"")+COUNTIFS('Dados do Burndown'!E2:E780,16,'Dados do Burndown'!B2:B780,"&gt;0",'Dados do Burndown'!C2:C780,TRUE,'Dados do Burndown'!D2:D780,"",'Dados do Burndown'!F2:F780,16)&gt;0),"",MAX(0,$B$19-SUMIFS('Dados do Burndown'!B2:B780,'Dados do Burndown'!E2:E780,16,'Dados do Burndown'!C2:C780,TRUE,'Dados do Burndown'!D2:D780,"&gt;0",'Dados do Burndown'!D2:D780,"&lt;="&amp;A739)-SUMIFS('Dados do Burndown'!B2:B780,'Dados do Burndown'!E2:E780,16,'Dados do Burndown'!C2:C780,TRUE,'Dados do Burndown'!D2:D780,"",'Dados do Burndown'!F2:F780,"&gt;0",'Dados do Burndown'!F2:F780,"&lt;"&amp;16)))</f>
        <v/>
      </c>
      <c r="D739" s="51">
        <v>3.0</v>
      </c>
    </row>
    <row r="740">
      <c r="A740" s="60">
        <f>$B$731+3</f>
        <v>46352</v>
      </c>
      <c r="B740" s="55">
        <f>$C$19*(7-4)/7</f>
        <v>9</v>
      </c>
      <c r="C740" s="55" t="str">
        <f>IF(OR(A740&gt;TODAY(),COUNTIFS('Dados do Burndown'!E2:E780,16,'Dados do Burndown'!B2:B780,"&gt;0",'Dados do Burndown'!C2:C780,TRUE,'Dados do Burndown'!D2:D780,"",'Dados do Burndown'!F2:F780,"")+COUNTIFS('Dados do Burndown'!E2:E780,16,'Dados do Burndown'!B2:B780,"&gt;0",'Dados do Burndown'!C2:C780,TRUE,'Dados do Burndown'!D2:D780,"",'Dados do Burndown'!F2:F780,16)&gt;0),"",MAX(0,$B$19-SUMIFS('Dados do Burndown'!B2:B780,'Dados do Burndown'!E2:E780,16,'Dados do Burndown'!C2:C780,TRUE,'Dados do Burndown'!D2:D780,"&gt;0",'Dados do Burndown'!D2:D780,"&lt;="&amp;A740)-SUMIFS('Dados do Burndown'!B2:B780,'Dados do Burndown'!E2:E780,16,'Dados do Burndown'!C2:C780,TRUE,'Dados do Burndown'!D2:D780,"",'Dados do Burndown'!F2:F780,"&gt;0",'Dados do Burndown'!F2:F780,"&lt;"&amp;16)))</f>
        <v/>
      </c>
      <c r="D740" s="51">
        <v>4.0</v>
      </c>
    </row>
    <row r="741">
      <c r="A741" s="60">
        <f>$B$731+4</f>
        <v>46353</v>
      </c>
      <c r="B741" s="55">
        <f>$C$19*(7-5)/7</f>
        <v>6</v>
      </c>
      <c r="C741" s="55" t="str">
        <f>IF(OR(A741&gt;TODAY(),COUNTIFS('Dados do Burndown'!E2:E780,16,'Dados do Burndown'!B2:B780,"&gt;0",'Dados do Burndown'!C2:C780,TRUE,'Dados do Burndown'!D2:D780,"",'Dados do Burndown'!F2:F780,"")+COUNTIFS('Dados do Burndown'!E2:E780,16,'Dados do Burndown'!B2:B780,"&gt;0",'Dados do Burndown'!C2:C780,TRUE,'Dados do Burndown'!D2:D780,"",'Dados do Burndown'!F2:F780,16)&gt;0),"",MAX(0,$B$19-SUMIFS('Dados do Burndown'!B2:B780,'Dados do Burndown'!E2:E780,16,'Dados do Burndown'!C2:C780,TRUE,'Dados do Burndown'!D2:D780,"&gt;0",'Dados do Burndown'!D2:D780,"&lt;="&amp;A741)-SUMIFS('Dados do Burndown'!B2:B780,'Dados do Burndown'!E2:E780,16,'Dados do Burndown'!C2:C780,TRUE,'Dados do Burndown'!D2:D780,"",'Dados do Burndown'!F2:F780,"&gt;0",'Dados do Burndown'!F2:F780,"&lt;"&amp;16)))</f>
        <v/>
      </c>
      <c r="D741" s="51">
        <v>5.0</v>
      </c>
    </row>
    <row r="742">
      <c r="A742" s="60">
        <f>$B$731+5</f>
        <v>46354</v>
      </c>
      <c r="B742" s="55">
        <f>$C$19*(7-6)/7</f>
        <v>3</v>
      </c>
      <c r="C742" s="55" t="str">
        <f>IF(OR(A742&gt;TODAY(),COUNTIFS('Dados do Burndown'!E2:E780,16,'Dados do Burndown'!B2:B780,"&gt;0",'Dados do Burndown'!C2:C780,TRUE,'Dados do Burndown'!D2:D780,"",'Dados do Burndown'!F2:F780,"")+COUNTIFS('Dados do Burndown'!E2:E780,16,'Dados do Burndown'!B2:B780,"&gt;0",'Dados do Burndown'!C2:C780,TRUE,'Dados do Burndown'!D2:D780,"",'Dados do Burndown'!F2:F780,16)&gt;0),"",MAX(0,$B$19-SUMIFS('Dados do Burndown'!B2:B780,'Dados do Burndown'!E2:E780,16,'Dados do Burndown'!C2:C780,TRUE,'Dados do Burndown'!D2:D780,"&gt;0",'Dados do Burndown'!D2:D780,"&lt;="&amp;A742)-SUMIFS('Dados do Burndown'!B2:B780,'Dados do Burndown'!E2:E780,16,'Dados do Burndown'!C2:C780,TRUE,'Dados do Burndown'!D2:D780,"",'Dados do Burndown'!F2:F780,"&gt;0",'Dados do Burndown'!F2:F780,"&lt;"&amp;16)))</f>
        <v/>
      </c>
      <c r="D742" s="51">
        <v>6.0</v>
      </c>
    </row>
    <row r="743">
      <c r="A743" s="60">
        <f>$B$731+6</f>
        <v>46355</v>
      </c>
      <c r="B743" s="55">
        <f>$C$19*(7-7)/7</f>
        <v>0</v>
      </c>
      <c r="C743" s="55" t="str">
        <f>IF(OR(A743&gt;TODAY(),COUNTIFS('Dados do Burndown'!E2:E780,16,'Dados do Burndown'!B2:B780,"&gt;0",'Dados do Burndown'!C2:C780,TRUE,'Dados do Burndown'!D2:D780,"",'Dados do Burndown'!F2:F780,"")&gt;0),"",MAX(0,$B$19-SUMIFS('Dados do Burndown'!B2:B780,'Dados do Burndown'!E2:E780,16,'Dados do Burndown'!C2:C780,TRUE,'Dados do Burndown'!D2:D780,"&gt;0",'Dados do Burndown'!D2:D780,"&lt;="&amp;A743)-SUMIFS('Dados do Burndown'!B2:B780,'Dados do Burndown'!E2:E780,16,'Dados do Burndown'!C2:C780,TRUE,'Dados do Burndown'!D2:D780,"",'Dados do Burndown'!F2:F780,"&gt;0",'Dados do Burndown'!F2:F780,"&lt;="&amp;16)))</f>
        <v/>
      </c>
      <c r="D743" s="51">
        <v>7.0</v>
      </c>
    </row>
    <row r="745" ht="24.0" customHeight="1">
      <c r="A745" s="61"/>
    </row>
    <row r="746" ht="24.0" customHeight="1"/>
    <row r="749" ht="25.5" customHeight="1">
      <c r="A749" s="62" t="s">
        <v>143</v>
      </c>
      <c r="E749" s="63" t="s">
        <v>144</v>
      </c>
    </row>
    <row r="750">
      <c r="A750" s="64" t="str">
        <f>IFERROR(__xludf.DUMMYFUNCTION("IFNA(TEXTJOIN(CHAR(10),TRUE,FILTER('Dados do Burndown'!A2:A780,'Dados do Burndown'!A2:A780&lt;&gt;"""",'Dados do Burndown'!E2:E780=16)),""Nenhuma tarefa planejada"")"),"4.2.2.3 3º Apresentação
4.2.1.16 Reunião Semanal 16")</f>
        <v>4.2.2.3 3º Apresentação
4.2.1.16 Reunião Semanal 16</v>
      </c>
      <c r="E750" s="64" t="str">
        <f>IFERROR(__xludf.DUMMYFUNCTION("IFNA(TEXTJOIN(CHAR(10),TRUE,FILTER('Dados do Burndown'!A2:A780,'Dados do Burndown'!A2:A780&lt;&gt;"""",'Dados do Burndown'!E2:E780=16,'Dados do Burndown'!C2:C780=TRUE,((('Dados do Burndown'!D2:D780&lt;=$B$732)*('Dados do Burndown'!D2:D780&gt;0))+(('Dados do Burndown'"&amp;"!D2:D780="""")*('Dados do Burndown'!F2:F780&gt;0)*('Dados do Burndown'!F2:F780&lt;=16)))&gt;0)),""Nenhuma tarefa do escopo concluída"")"),"Nenhuma tarefa do escopo concluída")</f>
        <v>Nenhuma tarefa do escopo concluída</v>
      </c>
    </row>
  </sheetData>
  <mergeCells count="99">
    <mergeCell ref="A493:C493"/>
    <mergeCell ref="A463:C464"/>
    <mergeCell ref="A467:C467"/>
    <mergeCell ref="A468:C489"/>
    <mergeCell ref="A587:C587"/>
    <mergeCell ref="A557:C558"/>
    <mergeCell ref="A561:C561"/>
    <mergeCell ref="A562:C583"/>
    <mergeCell ref="A322:C323"/>
    <mergeCell ref="A326:C326"/>
    <mergeCell ref="A327:C348"/>
    <mergeCell ref="A373:C373"/>
    <mergeCell ref="A374:C395"/>
    <mergeCell ref="A420:C420"/>
    <mergeCell ref="A421:C442"/>
    <mergeCell ref="A514:C514"/>
    <mergeCell ref="A515:C536"/>
    <mergeCell ref="A608:C608"/>
    <mergeCell ref="A609:C630"/>
    <mergeCell ref="A352:C352"/>
    <mergeCell ref="A446:C446"/>
    <mergeCell ref="A540:C540"/>
    <mergeCell ref="A634:C634"/>
    <mergeCell ref="A416:C417"/>
    <mergeCell ref="A510:C511"/>
    <mergeCell ref="A604:C605"/>
    <mergeCell ref="A211:C211"/>
    <mergeCell ref="A181:C182"/>
    <mergeCell ref="A185:C185"/>
    <mergeCell ref="A186:C207"/>
    <mergeCell ref="A232:C232"/>
    <mergeCell ref="A233:C254"/>
    <mergeCell ref="A23:C23"/>
    <mergeCell ref="A70:C70"/>
    <mergeCell ref="A164:C164"/>
    <mergeCell ref="A258:C258"/>
    <mergeCell ref="A40:C41"/>
    <mergeCell ref="A134:C135"/>
    <mergeCell ref="A228:C229"/>
    <mergeCell ref="E655:I655"/>
    <mergeCell ref="E656:I677"/>
    <mergeCell ref="E468:I489"/>
    <mergeCell ref="E514:I514"/>
    <mergeCell ref="E515:I536"/>
    <mergeCell ref="E561:I561"/>
    <mergeCell ref="E562:I583"/>
    <mergeCell ref="E608:I608"/>
    <mergeCell ref="E609:I630"/>
    <mergeCell ref="A749:C749"/>
    <mergeCell ref="A750:C771"/>
    <mergeCell ref="A681:C681"/>
    <mergeCell ref="A728:C728"/>
    <mergeCell ref="A651:C652"/>
    <mergeCell ref="A698:C699"/>
    <mergeCell ref="A745:C746"/>
    <mergeCell ref="A655:C655"/>
    <mergeCell ref="A656:C677"/>
    <mergeCell ref="A1:I1"/>
    <mergeCell ref="A2:I2"/>
    <mergeCell ref="A20:I20"/>
    <mergeCell ref="A117:C117"/>
    <mergeCell ref="A87:C88"/>
    <mergeCell ref="A91:C91"/>
    <mergeCell ref="A92:C113"/>
    <mergeCell ref="E91:I91"/>
    <mergeCell ref="E92:I113"/>
    <mergeCell ref="A305:C305"/>
    <mergeCell ref="A275:C276"/>
    <mergeCell ref="A279:C279"/>
    <mergeCell ref="A280:C301"/>
    <mergeCell ref="E279:I279"/>
    <mergeCell ref="E280:I301"/>
    <mergeCell ref="E326:I326"/>
    <mergeCell ref="E327:I348"/>
    <mergeCell ref="A44:C44"/>
    <mergeCell ref="A45:C66"/>
    <mergeCell ref="E44:I44"/>
    <mergeCell ref="E45:I66"/>
    <mergeCell ref="A138:C138"/>
    <mergeCell ref="A139:C160"/>
    <mergeCell ref="E138:I138"/>
    <mergeCell ref="E139:I160"/>
    <mergeCell ref="E185:I185"/>
    <mergeCell ref="E186:I207"/>
    <mergeCell ref="E232:I232"/>
    <mergeCell ref="E233:I254"/>
    <mergeCell ref="A399:C399"/>
    <mergeCell ref="A369:C370"/>
    <mergeCell ref="E373:I373"/>
    <mergeCell ref="E374:I395"/>
    <mergeCell ref="E420:I420"/>
    <mergeCell ref="E421:I442"/>
    <mergeCell ref="E467:I467"/>
    <mergeCell ref="A702:C702"/>
    <mergeCell ref="A703:C724"/>
    <mergeCell ref="E702:I702"/>
    <mergeCell ref="E703:I724"/>
    <mergeCell ref="E749:I749"/>
    <mergeCell ref="E750:I77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63"/>
    <col customWidth="1" min="5" max="5" width="184.25"/>
  </cols>
  <sheetData>
    <row r="1">
      <c r="A1" s="19" t="s">
        <v>93</v>
      </c>
      <c r="B1" s="20" t="s">
        <v>60</v>
      </c>
      <c r="C1" s="21" t="s">
        <v>94</v>
      </c>
      <c r="D1" s="21" t="s">
        <v>95</v>
      </c>
      <c r="E1" s="19" t="s">
        <v>96</v>
      </c>
    </row>
    <row r="2">
      <c r="A2" s="22">
        <v>46237.0</v>
      </c>
      <c r="B2" s="23">
        <v>0.0</v>
      </c>
      <c r="C2" s="24">
        <f>SUM('Base de Dados'!C:C) - SUM('Base de Dados'!C:C)*(B2)/16</f>
        <v>507.5</v>
      </c>
      <c r="D2" s="25">
        <f>SUM('Base de Dados'!C:C) - SUMIF('Base de Dados'!G:G,"&lt;="&amp;B2, 'Base de Dados'!C:C) - (B2*(40/15))</f>
        <v>507.5</v>
      </c>
      <c r="E2" s="26"/>
    </row>
    <row r="3">
      <c r="A3" s="27">
        <v>46244.0</v>
      </c>
      <c r="B3" s="28">
        <v>1.0</v>
      </c>
      <c r="C3" s="25">
        <f>SUM('Base de Dados'!C:C) - SUM('Base de Dados'!C:C)*(B3)/16</f>
        <v>475.78125</v>
      </c>
      <c r="D3" s="25">
        <f>SUM('Base de Dados'!C:C) - SUMIF('Base de Dados'!G:G,"&lt;="&amp;B3, 'Base de Dados'!C:C) - (B3*(40/15))</f>
        <v>497.8333333</v>
      </c>
      <c r="E3" s="29" t="str">
        <f>IFERROR(__xludf.DUMMYFUNCTION("IFERROR(TEXTJOIN(""; "",TRUE,FILTER('Base de Dados'!A:A,'Base de Dados'!G:G=B3))&amp;""; Reunião Semanal ""&amp;B3,""Reunião Semanal ""&amp;B3)"),"4.2.3 Arquitetura e Divisão de Tarefas; Reunião Semanal 1")</f>
        <v>4.2.3 Arquitetura e Divisão de Tarefas; Reunião Semanal 1</v>
      </c>
      <c r="G3" s="30"/>
    </row>
    <row r="4">
      <c r="A4" s="22">
        <v>46251.0</v>
      </c>
      <c r="B4" s="31">
        <v>2.0</v>
      </c>
      <c r="C4" s="25">
        <f>SUM('Base de Dados'!C:C) - SUM('Base de Dados'!C:C)*(B4)/16</f>
        <v>444.0625</v>
      </c>
      <c r="D4" s="25">
        <f>SUM('Base de Dados'!C:C) - SUMIF('Base de Dados'!G:G,"&lt;="&amp;B4, 'Base de Dados'!C:C) - (B4*(40/15))</f>
        <v>495.1666667</v>
      </c>
      <c r="E4" s="29" t="str">
        <f>IFERROR(__xludf.DUMMYFUNCTION("IFERROR(TEXTJOIN(""; "",TRUE,FILTER('Base de Dados'!A:A,'Base de Dados'!G:G=B4))&amp;""; Reunião Semanal ""&amp;B4,""Reunião Semanal ""&amp;B4)"),"Reunião Semanal 2")</f>
        <v>Reunião Semanal 2</v>
      </c>
      <c r="G4" s="30"/>
    </row>
    <row r="5">
      <c r="A5" s="22">
        <v>46258.0</v>
      </c>
      <c r="B5" s="31">
        <v>3.0</v>
      </c>
      <c r="C5" s="25">
        <f>SUM('Base de Dados'!C:C) - SUM('Base de Dados'!C:C)*(B5)/16</f>
        <v>412.34375</v>
      </c>
      <c r="D5" s="25">
        <f>SUM('Base de Dados'!C:C) - SUMIF('Base de Dados'!G:G,"&lt;="&amp;B5, 'Base de Dados'!C:C) - (B5*(40/15))</f>
        <v>478.5</v>
      </c>
      <c r="E5" s="29" t="str">
        <f>IFERROR(__xludf.DUMMYFUNCTION("IFERROR(TEXTJOIN(""; "",TRUE,FILTER('Base de Dados'!A:A,'Base de Dados'!G:G=B5))&amp;""; Reunião Semanal ""&amp;B5,""Reunião Semanal ""&amp;B5)"),"4.1.1 EAP; 4.1.2.2 APF; 4.1.2.3 COCOMO; 4.3.2 Kanban; 4.4 Análise de Risco; Reunião Semanal 3")</f>
        <v>4.1.1 EAP; 4.1.2.2 APF; 4.1.2.3 COCOMO; 4.3.2 Kanban; 4.4 Análise de Risco; Reunião Semanal 3</v>
      </c>
    </row>
    <row r="6">
      <c r="A6" s="27">
        <v>46265.0</v>
      </c>
      <c r="B6" s="31">
        <v>4.0</v>
      </c>
      <c r="C6" s="25">
        <f>SUM('Base de Dados'!C:C) - SUM('Base de Dados'!C:C)*(B6)/16</f>
        <v>380.625</v>
      </c>
      <c r="D6" s="25">
        <f>SUM('Base de Dados'!C:C) - SUMIF('Base de Dados'!G:G,"&lt;="&amp;B6, 'Base de Dados'!C:C) - (B6*(40/15))</f>
        <v>472.8333333</v>
      </c>
      <c r="E6" s="29" t="str">
        <f>IFERROR(__xludf.DUMMYFUNCTION("IFERROR(TEXTJOIN(""; "",TRUE,FILTER('Base de Dados'!A:A,'Base de Dados'!G:G=B6))&amp;""; Reunião Semanal ""&amp;B6,""Reunião Semanal ""&amp;B6)"),"4.1.2.1 Planning Poker; Reunião Semanal 4")</f>
        <v>4.1.2.1 Planning Poker; Reunião Semanal 4</v>
      </c>
    </row>
    <row r="7">
      <c r="A7" s="27">
        <v>46272.0</v>
      </c>
      <c r="B7" s="31">
        <v>5.0</v>
      </c>
      <c r="C7" s="25">
        <f>SUM('Base de Dados'!C:C) - SUM('Base de Dados'!C:C)*(B7)/16</f>
        <v>348.90625</v>
      </c>
      <c r="D7" s="25">
        <f>SUM('Base de Dados'!C:C) - SUMIF('Base de Dados'!G:G,"&lt;="&amp;B7, 'Base de Dados'!C:C) - (B7*(40/15))</f>
        <v>454.6666667</v>
      </c>
      <c r="E7" s="29" t="str">
        <f>IFERROR(__xludf.DUMMYFUNCTION("IFERROR(TEXTJOIN(""; "",TRUE,FILTER('Base de Dados'!A:A,'Base de Dados'!G:G=B7))&amp;""; Reunião Semanal ""&amp;B7,""Reunião Semanal ""&amp;B7)"),"1.1.1 Layout da Página Principal; 1.1.2 Botões com Roteamento; 1.2.1 Layout da Página da Partida; 1.3.3 Seletor de Tema; 1.4.1 Layout da Página de Créditos; 1.4.2 Exibição das Tecnologias/Técnicas do Projeto; 1.4.3 Exibição da Equipe; 4.3.3 Roadmap (Gantt"&amp;"); Reunião Semanal 5")</f>
        <v>1.1.1 Layout da Página Principal; 1.1.2 Botões com Roteamento; 1.2.1 Layout da Página da Partida; 1.3.3 Seletor de Tema; 1.4.1 Layout da Página de Créditos; 1.4.2 Exibição das Tecnologias/Técnicas do Projeto; 1.4.3 Exibição da Equipe; 4.3.3 Roadmap (Gantt); Reunião Semanal 5</v>
      </c>
    </row>
    <row r="8">
      <c r="A8" s="32">
        <v>46279.0</v>
      </c>
      <c r="B8" s="33">
        <v>6.0</v>
      </c>
      <c r="C8" s="34">
        <f>SUM('Base de Dados'!C:C) - SUM('Base de Dados'!C:C)*(B8)/16</f>
        <v>317.1875</v>
      </c>
      <c r="D8" s="34">
        <f>SUM('Base de Dados'!C:C) - SUMIF('Base de Dados'!G:G,"&lt;="&amp;B8, 'Base de Dados'!C:C) - (B8*(40/15))</f>
        <v>445.5</v>
      </c>
      <c r="E8" s="35" t="str">
        <f>IFERROR(__xludf.DUMMYFUNCTION("IFERROR(TEXTJOIN(""; "",TRUE,FILTER('Base de Dados'!A:A,'Base de Dados'!G:G=B8))&amp;""; Reunião Semanal ""&amp;B8,""Reunião Semanal ""&amp;B8)"),"1.2.2.2 Componentes das Peças; 4.2.2.1 1º Apresentação; Reunião Semanal 6")</f>
        <v>1.2.2.2 Componentes das Peças; 4.2.2.1 1º Apresentação; Reunião Semanal 6</v>
      </c>
    </row>
    <row r="9">
      <c r="A9" s="36">
        <v>46286.0</v>
      </c>
      <c r="B9" s="37">
        <v>7.0</v>
      </c>
      <c r="C9" s="38">
        <f>SUM('Base de Dados'!C:C) - SUM('Base de Dados'!C:C)*(B9)/16</f>
        <v>285.46875</v>
      </c>
      <c r="D9" s="38"/>
      <c r="E9" s="39"/>
    </row>
    <row r="10">
      <c r="A10" s="36">
        <v>46293.0</v>
      </c>
      <c r="B10" s="37">
        <v>8.0</v>
      </c>
      <c r="C10" s="38">
        <f>SUM('Base de Dados'!C:C) - SUM('Base de Dados'!C:C)*(B10)/16</f>
        <v>253.75</v>
      </c>
      <c r="D10" s="38"/>
      <c r="E10" s="39"/>
    </row>
    <row r="11">
      <c r="A11" s="36">
        <v>46300.0</v>
      </c>
      <c r="B11" s="37">
        <v>9.0</v>
      </c>
      <c r="C11" s="38">
        <f>SUM('Base de Dados'!C:C) - SUM('Base de Dados'!C:C)*(B11)/16</f>
        <v>222.03125</v>
      </c>
      <c r="D11" s="38"/>
      <c r="E11" s="39"/>
    </row>
    <row r="12">
      <c r="A12" s="36">
        <v>46307.0</v>
      </c>
      <c r="B12" s="37">
        <v>10.0</v>
      </c>
      <c r="C12" s="38">
        <f>SUM('Base de Dados'!C:C) - SUM('Base de Dados'!C:C)*(B12)/16</f>
        <v>190.3125</v>
      </c>
      <c r="D12" s="38"/>
      <c r="E12" s="39">
        <f>SUM('Base de Dados'!C:C) - SUM('Base de Dados'!C:C)*(B2)/16</f>
        <v>507.5</v>
      </c>
    </row>
    <row r="13">
      <c r="A13" s="36">
        <v>46314.0</v>
      </c>
      <c r="B13" s="37">
        <v>11.0</v>
      </c>
      <c r="C13" s="38">
        <f>SUM('Base de Dados'!C:C) - SUM('Base de Dados'!C:C)*(B13)/16</f>
        <v>158.59375</v>
      </c>
      <c r="D13" s="38"/>
      <c r="E13" s="39"/>
    </row>
    <row r="14">
      <c r="A14" s="36">
        <v>46321.0</v>
      </c>
      <c r="B14" s="37">
        <v>12.0</v>
      </c>
      <c r="C14" s="38">
        <f>SUM('Base de Dados'!C:C) - SUM('Base de Dados'!C:C)*(B14)/16</f>
        <v>126.875</v>
      </c>
      <c r="D14" s="38"/>
      <c r="E14" s="39"/>
    </row>
    <row r="15">
      <c r="A15" s="36">
        <v>46328.0</v>
      </c>
      <c r="B15" s="37">
        <v>13.0</v>
      </c>
      <c r="C15" s="38">
        <f>SUM('Base de Dados'!C:C) - SUM('Base de Dados'!C:C)*(B15)/16</f>
        <v>95.15625</v>
      </c>
      <c r="D15" s="38"/>
      <c r="E15" s="39"/>
    </row>
    <row r="16">
      <c r="A16" s="36">
        <v>46335.0</v>
      </c>
      <c r="B16" s="37">
        <v>14.0</v>
      </c>
      <c r="C16" s="38">
        <f>SUM('Base de Dados'!C:C) - SUM('Base de Dados'!C:C)*(B16)/16</f>
        <v>63.4375</v>
      </c>
      <c r="D16" s="38"/>
      <c r="E16" s="39"/>
    </row>
    <row r="17">
      <c r="A17" s="36">
        <v>46342.0</v>
      </c>
      <c r="B17" s="37">
        <v>15.0</v>
      </c>
      <c r="C17" s="38">
        <f>SUM('Base de Dados'!C:C) - SUM('Base de Dados'!C:C)*(B17)/16</f>
        <v>31.71875</v>
      </c>
      <c r="D17" s="38"/>
      <c r="E17" s="39"/>
    </row>
    <row r="18">
      <c r="A18" s="36">
        <v>46349.0</v>
      </c>
      <c r="B18" s="37">
        <v>16.0</v>
      </c>
      <c r="C18" s="38">
        <f>SUM('Base de Dados'!C:C) - SUM('Base de Dados'!C:C)*(B18)/16</f>
        <v>0</v>
      </c>
      <c r="D18" s="38"/>
      <c r="E18" s="39"/>
    </row>
    <row r="19">
      <c r="C19" s="42"/>
      <c r="D19" s="42"/>
    </row>
    <row r="20">
      <c r="A20" s="15" t="s">
        <v>5</v>
      </c>
      <c r="C20" s="42"/>
      <c r="D20" s="42"/>
    </row>
    <row r="21">
      <c r="A21" s="40" t="s">
        <v>97</v>
      </c>
      <c r="C21" s="42"/>
      <c r="D21" s="42"/>
    </row>
    <row r="22">
      <c r="A22" s="44" t="s">
        <v>98</v>
      </c>
      <c r="C22" s="42"/>
      <c r="D22" s="42"/>
    </row>
    <row r="23">
      <c r="A23" s="30"/>
      <c r="C23" s="42"/>
      <c r="D23" s="42"/>
    </row>
    <row r="24">
      <c r="A24" s="45"/>
      <c r="C24" s="42"/>
      <c r="D24" s="42"/>
    </row>
    <row r="25">
      <c r="C25" s="42"/>
      <c r="D25" s="42"/>
    </row>
    <row r="26">
      <c r="C26" s="42"/>
      <c r="D26" s="42"/>
    </row>
    <row r="27">
      <c r="C27" s="42"/>
      <c r="D27" s="42"/>
    </row>
    <row r="28">
      <c r="C28" s="42"/>
      <c r="D28" s="42"/>
    </row>
    <row r="29">
      <c r="C29" s="42"/>
      <c r="D29" s="42"/>
    </row>
    <row r="30">
      <c r="C30" s="42"/>
      <c r="D30" s="42"/>
    </row>
    <row r="31">
      <c r="C31" s="42"/>
      <c r="D31" s="42"/>
    </row>
    <row r="32">
      <c r="C32" s="42"/>
      <c r="D32" s="42"/>
    </row>
    <row r="33">
      <c r="C33" s="42"/>
      <c r="D33" s="42"/>
    </row>
    <row r="34">
      <c r="C34" s="42"/>
      <c r="D34" s="42"/>
    </row>
    <row r="35">
      <c r="C35" s="42"/>
      <c r="D35" s="42"/>
    </row>
    <row r="36">
      <c r="C36" s="42"/>
      <c r="D36" s="42"/>
    </row>
    <row r="37">
      <c r="C37" s="42"/>
      <c r="D37" s="42"/>
    </row>
    <row r="38">
      <c r="C38" s="42"/>
      <c r="D38" s="42"/>
    </row>
    <row r="39">
      <c r="C39" s="42"/>
      <c r="D39" s="42"/>
    </row>
    <row r="40">
      <c r="C40" s="42"/>
      <c r="D40" s="42"/>
    </row>
    <row r="41">
      <c r="C41" s="42"/>
      <c r="D41" s="42"/>
    </row>
    <row r="42">
      <c r="C42" s="42"/>
      <c r="D42" s="42"/>
    </row>
    <row r="43">
      <c r="C43" s="42"/>
      <c r="D43" s="42"/>
    </row>
    <row r="44">
      <c r="C44" s="42"/>
      <c r="D44" s="42"/>
    </row>
    <row r="45">
      <c r="C45" s="42"/>
      <c r="D45" s="42"/>
    </row>
    <row r="46">
      <c r="C46" s="42"/>
      <c r="D46" s="42"/>
    </row>
    <row r="47">
      <c r="C47" s="42"/>
      <c r="D47" s="42"/>
    </row>
    <row r="48">
      <c r="C48" s="42"/>
      <c r="D48" s="42"/>
    </row>
    <row r="49">
      <c r="C49" s="42"/>
      <c r="D49" s="42"/>
    </row>
    <row r="50">
      <c r="C50" s="42"/>
      <c r="D50" s="42"/>
    </row>
    <row r="51">
      <c r="C51" s="42"/>
      <c r="D51" s="42"/>
    </row>
    <row r="52">
      <c r="C52" s="42"/>
      <c r="D52" s="42"/>
    </row>
    <row r="53">
      <c r="C53" s="42"/>
      <c r="D53" s="42"/>
    </row>
    <row r="54">
      <c r="C54" s="42"/>
      <c r="D54" s="42"/>
    </row>
    <row r="55">
      <c r="C55" s="42"/>
      <c r="D55" s="42"/>
    </row>
    <row r="56">
      <c r="C56" s="42"/>
      <c r="D56" s="42"/>
    </row>
    <row r="57">
      <c r="C57" s="42"/>
      <c r="D57" s="42"/>
    </row>
    <row r="58">
      <c r="C58" s="42"/>
      <c r="D58" s="42"/>
    </row>
    <row r="59">
      <c r="C59" s="42"/>
      <c r="D59" s="42"/>
    </row>
    <row r="60">
      <c r="C60" s="42"/>
      <c r="D60" s="42"/>
    </row>
    <row r="61">
      <c r="C61" s="42"/>
      <c r="D61" s="42"/>
    </row>
    <row r="62">
      <c r="C62" s="42"/>
      <c r="D62" s="42"/>
    </row>
    <row r="63">
      <c r="C63" s="42"/>
      <c r="D63" s="42"/>
    </row>
    <row r="64">
      <c r="C64" s="42"/>
      <c r="D64" s="42"/>
    </row>
    <row r="65">
      <c r="C65" s="42"/>
      <c r="D65" s="42"/>
    </row>
    <row r="66">
      <c r="C66" s="42"/>
      <c r="D66" s="42"/>
    </row>
    <row r="67">
      <c r="C67" s="42"/>
      <c r="D67" s="42"/>
    </row>
    <row r="68">
      <c r="C68" s="42"/>
      <c r="D68" s="42"/>
    </row>
    <row r="69">
      <c r="C69" s="42"/>
      <c r="D69" s="42"/>
    </row>
    <row r="70">
      <c r="C70" s="42"/>
      <c r="D70" s="42"/>
    </row>
    <row r="71">
      <c r="C71" s="42"/>
      <c r="D71" s="42"/>
    </row>
    <row r="72">
      <c r="C72" s="42"/>
      <c r="D72" s="42"/>
    </row>
    <row r="73">
      <c r="C73" s="42"/>
      <c r="D73" s="42"/>
    </row>
    <row r="74">
      <c r="C74" s="42"/>
      <c r="D74" s="42"/>
    </row>
    <row r="75">
      <c r="C75" s="42"/>
      <c r="D75" s="42"/>
    </row>
    <row r="76">
      <c r="C76" s="42"/>
      <c r="D76" s="42"/>
    </row>
    <row r="77">
      <c r="C77" s="42"/>
      <c r="D77" s="42"/>
    </row>
    <row r="78">
      <c r="C78" s="42"/>
      <c r="D78" s="42"/>
    </row>
    <row r="79">
      <c r="C79" s="42"/>
      <c r="D79" s="42"/>
    </row>
    <row r="80">
      <c r="C80" s="42"/>
      <c r="D80" s="42"/>
    </row>
    <row r="81">
      <c r="C81" s="42"/>
      <c r="D81" s="42"/>
    </row>
    <row r="82">
      <c r="C82" s="42"/>
      <c r="D82" s="42"/>
    </row>
    <row r="83">
      <c r="C83" s="42"/>
      <c r="D83" s="42"/>
    </row>
    <row r="84">
      <c r="C84" s="42"/>
      <c r="D84" s="42"/>
    </row>
    <row r="85">
      <c r="C85" s="42"/>
      <c r="D85" s="42"/>
    </row>
    <row r="86">
      <c r="C86" s="42"/>
      <c r="D86" s="42"/>
    </row>
    <row r="87">
      <c r="C87" s="42"/>
      <c r="D87" s="42"/>
    </row>
    <row r="88">
      <c r="C88" s="42"/>
      <c r="D88" s="42"/>
    </row>
    <row r="89">
      <c r="C89" s="42"/>
      <c r="D89" s="42"/>
    </row>
    <row r="90">
      <c r="C90" s="42"/>
      <c r="D90" s="42"/>
    </row>
    <row r="91">
      <c r="C91" s="42"/>
      <c r="D91" s="42"/>
    </row>
    <row r="92">
      <c r="C92" s="42"/>
      <c r="D92" s="42"/>
    </row>
    <row r="93">
      <c r="C93" s="42"/>
      <c r="D93" s="42"/>
    </row>
    <row r="94">
      <c r="C94" s="42"/>
      <c r="D94" s="42"/>
    </row>
    <row r="95">
      <c r="C95" s="42"/>
      <c r="D95" s="42"/>
    </row>
    <row r="96">
      <c r="C96" s="42"/>
      <c r="D96" s="42"/>
    </row>
    <row r="97">
      <c r="C97" s="42"/>
      <c r="D97" s="42"/>
    </row>
    <row r="98">
      <c r="C98" s="42"/>
      <c r="D98" s="42"/>
    </row>
    <row r="99">
      <c r="C99" s="42"/>
      <c r="D99" s="42"/>
    </row>
    <row r="100">
      <c r="C100" s="42"/>
      <c r="D100" s="42"/>
    </row>
    <row r="101">
      <c r="C101" s="42"/>
      <c r="D101" s="42"/>
    </row>
    <row r="102">
      <c r="C102" s="42"/>
      <c r="D102" s="42"/>
    </row>
    <row r="103">
      <c r="C103" s="42"/>
      <c r="D103" s="42"/>
    </row>
    <row r="104">
      <c r="C104" s="42"/>
      <c r="D104" s="42"/>
    </row>
    <row r="105">
      <c r="C105" s="42"/>
      <c r="D105" s="42"/>
    </row>
    <row r="106">
      <c r="C106" s="42"/>
      <c r="D106" s="42"/>
    </row>
    <row r="107">
      <c r="C107" s="42"/>
      <c r="D107" s="42"/>
    </row>
    <row r="108">
      <c r="C108" s="42"/>
      <c r="D108" s="42"/>
    </row>
    <row r="109">
      <c r="C109" s="42"/>
      <c r="D109" s="42"/>
    </row>
    <row r="110">
      <c r="C110" s="42"/>
      <c r="D110" s="42"/>
    </row>
    <row r="111">
      <c r="C111" s="42"/>
      <c r="D111" s="42"/>
    </row>
    <row r="112">
      <c r="C112" s="42"/>
      <c r="D112" s="42"/>
    </row>
    <row r="113">
      <c r="C113" s="42"/>
      <c r="D113" s="42"/>
    </row>
    <row r="114">
      <c r="C114" s="42"/>
      <c r="D114" s="42"/>
    </row>
    <row r="115">
      <c r="C115" s="42"/>
      <c r="D115" s="42"/>
    </row>
    <row r="116">
      <c r="C116" s="42"/>
      <c r="D116" s="42"/>
    </row>
    <row r="117">
      <c r="C117" s="42"/>
      <c r="D117" s="42"/>
    </row>
    <row r="118">
      <c r="C118" s="42"/>
      <c r="D118" s="42"/>
    </row>
    <row r="119">
      <c r="C119" s="42"/>
      <c r="D119" s="42"/>
    </row>
    <row r="120">
      <c r="C120" s="42"/>
      <c r="D120" s="42"/>
    </row>
    <row r="121">
      <c r="C121" s="42"/>
      <c r="D121" s="42"/>
    </row>
    <row r="122">
      <c r="C122" s="42"/>
      <c r="D122" s="42"/>
    </row>
    <row r="123">
      <c r="C123" s="42"/>
      <c r="D123" s="42"/>
    </row>
    <row r="124">
      <c r="C124" s="42"/>
      <c r="D124" s="42"/>
    </row>
    <row r="125">
      <c r="C125" s="42"/>
      <c r="D125" s="42"/>
    </row>
    <row r="126">
      <c r="C126" s="42"/>
      <c r="D126" s="42"/>
    </row>
    <row r="127">
      <c r="C127" s="42"/>
      <c r="D127" s="42"/>
    </row>
    <row r="128">
      <c r="C128" s="42"/>
      <c r="D128" s="42"/>
    </row>
    <row r="129">
      <c r="C129" s="42"/>
      <c r="D129" s="42"/>
    </row>
    <row r="130">
      <c r="C130" s="42"/>
      <c r="D130" s="42"/>
    </row>
    <row r="131">
      <c r="C131" s="42"/>
      <c r="D131" s="42"/>
    </row>
    <row r="132">
      <c r="C132" s="42"/>
      <c r="D132" s="42"/>
    </row>
    <row r="133">
      <c r="C133" s="42"/>
      <c r="D133" s="42"/>
    </row>
    <row r="134">
      <c r="C134" s="42"/>
      <c r="D134" s="42"/>
    </row>
    <row r="135">
      <c r="C135" s="42"/>
      <c r="D135" s="42"/>
    </row>
    <row r="136">
      <c r="C136" s="42"/>
      <c r="D136" s="42"/>
    </row>
    <row r="137">
      <c r="C137" s="42"/>
      <c r="D137" s="42"/>
    </row>
    <row r="138">
      <c r="C138" s="42"/>
      <c r="D138" s="42"/>
    </row>
    <row r="139">
      <c r="C139" s="42"/>
      <c r="D139" s="42"/>
    </row>
    <row r="140">
      <c r="C140" s="42"/>
      <c r="D140" s="42"/>
    </row>
    <row r="141">
      <c r="C141" s="42"/>
      <c r="D141" s="42"/>
    </row>
    <row r="142">
      <c r="C142" s="42"/>
      <c r="D142" s="42"/>
    </row>
    <row r="143">
      <c r="C143" s="42"/>
      <c r="D143" s="42"/>
    </row>
    <row r="144">
      <c r="C144" s="42"/>
      <c r="D144" s="42"/>
    </row>
    <row r="145">
      <c r="C145" s="42"/>
      <c r="D145" s="42"/>
    </row>
    <row r="146">
      <c r="C146" s="42"/>
      <c r="D146" s="42"/>
    </row>
    <row r="147">
      <c r="C147" s="42"/>
      <c r="D147" s="42"/>
    </row>
    <row r="148">
      <c r="C148" s="42"/>
      <c r="D148" s="42"/>
    </row>
    <row r="149">
      <c r="C149" s="42"/>
      <c r="D149" s="42"/>
    </row>
    <row r="150">
      <c r="C150" s="42"/>
      <c r="D150" s="42"/>
    </row>
    <row r="151">
      <c r="C151" s="42"/>
      <c r="D151" s="42"/>
    </row>
    <row r="152">
      <c r="C152" s="42"/>
      <c r="D152" s="42"/>
    </row>
    <row r="153">
      <c r="C153" s="42"/>
      <c r="D153" s="42"/>
    </row>
    <row r="154">
      <c r="C154" s="42"/>
      <c r="D154" s="42"/>
    </row>
    <row r="155">
      <c r="C155" s="42"/>
      <c r="D155" s="42"/>
    </row>
    <row r="156">
      <c r="C156" s="42"/>
      <c r="D156" s="42"/>
    </row>
    <row r="157">
      <c r="C157" s="42"/>
      <c r="D157" s="42"/>
    </row>
    <row r="158">
      <c r="C158" s="42"/>
      <c r="D158" s="42"/>
    </row>
    <row r="159">
      <c r="C159" s="42"/>
      <c r="D159" s="42"/>
    </row>
    <row r="160">
      <c r="C160" s="42"/>
      <c r="D160" s="42"/>
    </row>
    <row r="161">
      <c r="C161" s="42"/>
      <c r="D161" s="42"/>
    </row>
    <row r="162">
      <c r="C162" s="42"/>
      <c r="D162" s="42"/>
    </row>
    <row r="163">
      <c r="C163" s="42"/>
      <c r="D163" s="42"/>
    </row>
    <row r="164">
      <c r="C164" s="42"/>
      <c r="D164" s="42"/>
    </row>
    <row r="165">
      <c r="C165" s="42"/>
      <c r="D165" s="42"/>
    </row>
    <row r="166">
      <c r="C166" s="42"/>
      <c r="D166" s="42"/>
    </row>
    <row r="167">
      <c r="C167" s="42"/>
      <c r="D167" s="42"/>
    </row>
    <row r="168">
      <c r="C168" s="42"/>
      <c r="D168" s="42"/>
    </row>
    <row r="169">
      <c r="C169" s="42"/>
      <c r="D169" s="42"/>
    </row>
    <row r="170">
      <c r="C170" s="42"/>
      <c r="D170" s="42"/>
    </row>
    <row r="171">
      <c r="C171" s="42"/>
      <c r="D171" s="42"/>
    </row>
    <row r="172">
      <c r="C172" s="42"/>
      <c r="D172" s="42"/>
    </row>
    <row r="173">
      <c r="C173" s="42"/>
      <c r="D173" s="42"/>
    </row>
    <row r="174">
      <c r="C174" s="42"/>
      <c r="D174" s="42"/>
    </row>
    <row r="175">
      <c r="C175" s="42"/>
      <c r="D175" s="42"/>
    </row>
    <row r="176">
      <c r="C176" s="42"/>
      <c r="D176" s="42"/>
    </row>
    <row r="177">
      <c r="C177" s="42"/>
      <c r="D177" s="42"/>
    </row>
    <row r="178">
      <c r="C178" s="42"/>
      <c r="D178" s="42"/>
    </row>
    <row r="179">
      <c r="C179" s="42"/>
      <c r="D179" s="42"/>
    </row>
    <row r="180">
      <c r="C180" s="42"/>
      <c r="D180" s="42"/>
    </row>
    <row r="181">
      <c r="C181" s="42"/>
      <c r="D181" s="42"/>
    </row>
    <row r="182">
      <c r="C182" s="42"/>
      <c r="D182" s="42"/>
    </row>
    <row r="183">
      <c r="C183" s="42"/>
      <c r="D183" s="42"/>
    </row>
    <row r="184">
      <c r="C184" s="42"/>
      <c r="D184" s="42"/>
    </row>
    <row r="185">
      <c r="C185" s="42"/>
      <c r="D185" s="42"/>
    </row>
    <row r="186">
      <c r="C186" s="42"/>
      <c r="D186" s="42"/>
    </row>
    <row r="187">
      <c r="C187" s="42"/>
      <c r="D187" s="42"/>
    </row>
    <row r="188">
      <c r="C188" s="42"/>
      <c r="D188" s="42"/>
    </row>
    <row r="189">
      <c r="C189" s="42"/>
      <c r="D189" s="42"/>
    </row>
    <row r="190">
      <c r="C190" s="42"/>
      <c r="D190" s="42"/>
    </row>
    <row r="191">
      <c r="C191" s="42"/>
      <c r="D191" s="42"/>
    </row>
    <row r="192">
      <c r="C192" s="42"/>
      <c r="D192" s="42"/>
    </row>
    <row r="193">
      <c r="C193" s="42"/>
      <c r="D193" s="42"/>
    </row>
    <row r="194">
      <c r="C194" s="42"/>
      <c r="D194" s="42"/>
    </row>
    <row r="195">
      <c r="C195" s="42"/>
      <c r="D195" s="42"/>
    </row>
    <row r="196">
      <c r="C196" s="42"/>
      <c r="D196" s="42"/>
    </row>
    <row r="197">
      <c r="C197" s="42"/>
      <c r="D197" s="42"/>
    </row>
    <row r="198">
      <c r="C198" s="42"/>
      <c r="D198" s="42"/>
    </row>
    <row r="199">
      <c r="C199" s="42"/>
      <c r="D199" s="42"/>
    </row>
    <row r="200">
      <c r="C200" s="42"/>
      <c r="D200" s="42"/>
    </row>
    <row r="201">
      <c r="C201" s="42"/>
      <c r="D201" s="42"/>
    </row>
    <row r="202">
      <c r="C202" s="42"/>
      <c r="D202" s="42"/>
    </row>
    <row r="203">
      <c r="C203" s="42"/>
      <c r="D203" s="42"/>
    </row>
    <row r="204">
      <c r="C204" s="42"/>
      <c r="D204" s="42"/>
    </row>
    <row r="205">
      <c r="C205" s="42"/>
      <c r="D205" s="42"/>
    </row>
    <row r="206">
      <c r="C206" s="42"/>
      <c r="D206" s="42"/>
    </row>
    <row r="207">
      <c r="C207" s="42"/>
      <c r="D207" s="42"/>
    </row>
    <row r="208">
      <c r="C208" s="42"/>
      <c r="D208" s="42"/>
    </row>
    <row r="209">
      <c r="C209" s="42"/>
      <c r="D209" s="42"/>
    </row>
    <row r="210">
      <c r="C210" s="42"/>
      <c r="D210" s="42"/>
    </row>
    <row r="211">
      <c r="C211" s="42"/>
      <c r="D211" s="42"/>
    </row>
    <row r="212">
      <c r="C212" s="42"/>
      <c r="D212" s="42"/>
    </row>
    <row r="213">
      <c r="C213" s="42"/>
      <c r="D213" s="42"/>
    </row>
    <row r="214">
      <c r="C214" s="42"/>
      <c r="D214" s="42"/>
    </row>
    <row r="215">
      <c r="C215" s="42"/>
      <c r="D215" s="42"/>
    </row>
    <row r="216">
      <c r="C216" s="42"/>
      <c r="D216" s="42"/>
    </row>
    <row r="217">
      <c r="C217" s="42"/>
      <c r="D217" s="42"/>
    </row>
    <row r="218">
      <c r="C218" s="42"/>
      <c r="D218" s="42"/>
    </row>
    <row r="219">
      <c r="C219" s="42"/>
      <c r="D219" s="42"/>
    </row>
    <row r="220">
      <c r="C220" s="42"/>
      <c r="D220" s="42"/>
    </row>
    <row r="221">
      <c r="C221" s="42"/>
      <c r="D221" s="42"/>
    </row>
    <row r="222">
      <c r="C222" s="42"/>
      <c r="D222" s="42"/>
    </row>
    <row r="223">
      <c r="C223" s="42"/>
      <c r="D223" s="42"/>
    </row>
    <row r="224">
      <c r="C224" s="42"/>
      <c r="D224" s="42"/>
    </row>
    <row r="225">
      <c r="C225" s="42"/>
      <c r="D225" s="42"/>
    </row>
    <row r="226">
      <c r="C226" s="42"/>
      <c r="D226" s="42"/>
    </row>
    <row r="227">
      <c r="C227" s="42"/>
      <c r="D227" s="42"/>
    </row>
    <row r="228">
      <c r="C228" s="42"/>
      <c r="D228" s="42"/>
    </row>
    <row r="229">
      <c r="C229" s="42"/>
      <c r="D229" s="42"/>
    </row>
    <row r="230">
      <c r="C230" s="42"/>
      <c r="D230" s="42"/>
    </row>
    <row r="231">
      <c r="C231" s="42"/>
      <c r="D231" s="42"/>
    </row>
    <row r="232">
      <c r="C232" s="42"/>
      <c r="D232" s="42"/>
    </row>
    <row r="233">
      <c r="C233" s="42"/>
      <c r="D233" s="42"/>
    </row>
    <row r="234">
      <c r="C234" s="42"/>
      <c r="D234" s="42"/>
    </row>
    <row r="235">
      <c r="C235" s="42"/>
      <c r="D235" s="42"/>
    </row>
    <row r="236">
      <c r="C236" s="42"/>
      <c r="D236" s="42"/>
    </row>
    <row r="237">
      <c r="C237" s="42"/>
      <c r="D237" s="42"/>
    </row>
    <row r="238">
      <c r="C238" s="42"/>
      <c r="D238" s="42"/>
    </row>
    <row r="239">
      <c r="C239" s="42"/>
      <c r="D239" s="42"/>
    </row>
    <row r="240">
      <c r="C240" s="42"/>
      <c r="D240" s="42"/>
    </row>
    <row r="241">
      <c r="C241" s="42"/>
      <c r="D241" s="42"/>
    </row>
    <row r="242">
      <c r="C242" s="42"/>
      <c r="D242" s="42"/>
    </row>
    <row r="243">
      <c r="C243" s="42"/>
      <c r="D243" s="42"/>
    </row>
    <row r="244">
      <c r="C244" s="42"/>
      <c r="D244" s="42"/>
    </row>
    <row r="245">
      <c r="C245" s="42"/>
      <c r="D245" s="42"/>
    </row>
    <row r="246">
      <c r="C246" s="42"/>
      <c r="D246" s="42"/>
    </row>
    <row r="247">
      <c r="C247" s="42"/>
      <c r="D247" s="42"/>
    </row>
    <row r="248">
      <c r="C248" s="42"/>
      <c r="D248" s="42"/>
    </row>
    <row r="249">
      <c r="C249" s="42"/>
      <c r="D249" s="42"/>
    </row>
    <row r="250">
      <c r="C250" s="42"/>
      <c r="D250" s="42"/>
    </row>
    <row r="251">
      <c r="C251" s="42"/>
      <c r="D251" s="42"/>
    </row>
    <row r="252">
      <c r="C252" s="42"/>
      <c r="D252" s="42"/>
    </row>
    <row r="253">
      <c r="C253" s="42"/>
      <c r="D253" s="42"/>
    </row>
    <row r="254">
      <c r="C254" s="42"/>
      <c r="D254" s="42"/>
    </row>
    <row r="255">
      <c r="C255" s="42"/>
      <c r="D255" s="42"/>
    </row>
    <row r="256">
      <c r="C256" s="42"/>
      <c r="D256" s="42"/>
    </row>
    <row r="257">
      <c r="C257" s="42"/>
      <c r="D257" s="42"/>
    </row>
    <row r="258">
      <c r="C258" s="42"/>
      <c r="D258" s="42"/>
    </row>
    <row r="259">
      <c r="C259" s="42"/>
      <c r="D259" s="42"/>
    </row>
    <row r="260">
      <c r="C260" s="42"/>
      <c r="D260" s="42"/>
    </row>
    <row r="261">
      <c r="C261" s="42"/>
      <c r="D261" s="42"/>
    </row>
    <row r="262">
      <c r="C262" s="42"/>
      <c r="D262" s="42"/>
    </row>
    <row r="263">
      <c r="C263" s="42"/>
      <c r="D263" s="42"/>
    </row>
    <row r="264">
      <c r="C264" s="42"/>
      <c r="D264" s="42"/>
    </row>
    <row r="265">
      <c r="C265" s="42"/>
      <c r="D265" s="42"/>
    </row>
    <row r="266">
      <c r="C266" s="42"/>
      <c r="D266" s="42"/>
    </row>
    <row r="267">
      <c r="C267" s="42"/>
      <c r="D267" s="42"/>
    </row>
    <row r="268">
      <c r="C268" s="42"/>
      <c r="D268" s="42"/>
    </row>
    <row r="269">
      <c r="C269" s="42"/>
      <c r="D269" s="42"/>
    </row>
    <row r="270">
      <c r="C270" s="42"/>
      <c r="D270" s="42"/>
    </row>
    <row r="271">
      <c r="C271" s="42"/>
      <c r="D271" s="42"/>
    </row>
    <row r="272">
      <c r="C272" s="42"/>
      <c r="D272" s="42"/>
    </row>
    <row r="273">
      <c r="C273" s="42"/>
      <c r="D273" s="42"/>
    </row>
    <row r="274">
      <c r="C274" s="42"/>
      <c r="D274" s="42"/>
    </row>
    <row r="275">
      <c r="C275" s="42"/>
      <c r="D275" s="42"/>
    </row>
    <row r="276">
      <c r="C276" s="42"/>
      <c r="D276" s="42"/>
    </row>
    <row r="277">
      <c r="C277" s="42"/>
      <c r="D277" s="42"/>
    </row>
    <row r="278">
      <c r="C278" s="42"/>
      <c r="D278" s="42"/>
    </row>
    <row r="279">
      <c r="C279" s="42"/>
      <c r="D279" s="42"/>
    </row>
    <row r="280">
      <c r="C280" s="42"/>
      <c r="D280" s="42"/>
    </row>
    <row r="281">
      <c r="C281" s="42"/>
      <c r="D281" s="42"/>
    </row>
    <row r="282">
      <c r="C282" s="42"/>
      <c r="D282" s="42"/>
    </row>
    <row r="283">
      <c r="C283" s="42"/>
      <c r="D283" s="42"/>
    </row>
    <row r="284">
      <c r="C284" s="42"/>
      <c r="D284" s="42"/>
    </row>
    <row r="285">
      <c r="C285" s="42"/>
      <c r="D285" s="42"/>
    </row>
    <row r="286">
      <c r="C286" s="42"/>
      <c r="D286" s="42"/>
    </row>
    <row r="287">
      <c r="C287" s="42"/>
      <c r="D287" s="42"/>
    </row>
    <row r="288">
      <c r="C288" s="42"/>
      <c r="D288" s="42"/>
    </row>
    <row r="289">
      <c r="C289" s="42"/>
      <c r="D289" s="42"/>
    </row>
    <row r="290">
      <c r="C290" s="42"/>
      <c r="D290" s="42"/>
    </row>
    <row r="291">
      <c r="C291" s="42"/>
      <c r="D291" s="42"/>
    </row>
    <row r="292">
      <c r="C292" s="42"/>
      <c r="D292" s="42"/>
    </row>
    <row r="293">
      <c r="C293" s="42"/>
      <c r="D293" s="42"/>
    </row>
    <row r="294">
      <c r="C294" s="42"/>
      <c r="D294" s="42"/>
    </row>
    <row r="295">
      <c r="C295" s="42"/>
      <c r="D295" s="42"/>
    </row>
    <row r="296">
      <c r="C296" s="42"/>
      <c r="D296" s="42"/>
    </row>
    <row r="297">
      <c r="C297" s="42"/>
      <c r="D297" s="42"/>
    </row>
    <row r="298">
      <c r="C298" s="42"/>
      <c r="D298" s="42"/>
    </row>
    <row r="299">
      <c r="C299" s="42"/>
      <c r="D299" s="42"/>
    </row>
    <row r="300">
      <c r="C300" s="42"/>
      <c r="D300" s="42"/>
    </row>
    <row r="301">
      <c r="C301" s="42"/>
      <c r="D301" s="42"/>
    </row>
    <row r="302">
      <c r="C302" s="42"/>
      <c r="D302" s="42"/>
    </row>
    <row r="303">
      <c r="C303" s="42"/>
      <c r="D303" s="42"/>
    </row>
    <row r="304">
      <c r="C304" s="42"/>
      <c r="D304" s="42"/>
    </row>
    <row r="305">
      <c r="C305" s="42"/>
      <c r="D305" s="42"/>
    </row>
    <row r="306">
      <c r="C306" s="42"/>
      <c r="D306" s="42"/>
    </row>
    <row r="307">
      <c r="C307" s="42"/>
      <c r="D307" s="42"/>
    </row>
    <row r="308">
      <c r="C308" s="42"/>
      <c r="D308" s="42"/>
    </row>
    <row r="309">
      <c r="C309" s="42"/>
      <c r="D309" s="42"/>
    </row>
    <row r="310">
      <c r="C310" s="42"/>
      <c r="D310" s="42"/>
    </row>
    <row r="311">
      <c r="C311" s="42"/>
      <c r="D311" s="42"/>
    </row>
    <row r="312">
      <c r="C312" s="42"/>
      <c r="D312" s="42"/>
    </row>
    <row r="313">
      <c r="C313" s="42"/>
      <c r="D313" s="42"/>
    </row>
    <row r="314">
      <c r="C314" s="42"/>
      <c r="D314" s="42"/>
    </row>
    <row r="315">
      <c r="C315" s="42"/>
      <c r="D315" s="42"/>
    </row>
    <row r="316">
      <c r="C316" s="42"/>
      <c r="D316" s="42"/>
    </row>
    <row r="317">
      <c r="C317" s="42"/>
      <c r="D317" s="42"/>
    </row>
    <row r="318">
      <c r="C318" s="42"/>
      <c r="D318" s="42"/>
    </row>
    <row r="319">
      <c r="C319" s="42"/>
      <c r="D319" s="42"/>
    </row>
    <row r="320">
      <c r="C320" s="42"/>
      <c r="D320" s="42"/>
    </row>
    <row r="321">
      <c r="C321" s="42"/>
      <c r="D321" s="42"/>
    </row>
    <row r="322">
      <c r="C322" s="42"/>
      <c r="D322" s="42"/>
    </row>
    <row r="323">
      <c r="C323" s="42"/>
      <c r="D323" s="42"/>
    </row>
    <row r="324">
      <c r="C324" s="42"/>
      <c r="D324" s="42"/>
    </row>
    <row r="325">
      <c r="C325" s="42"/>
      <c r="D325" s="42"/>
    </row>
    <row r="326">
      <c r="C326" s="42"/>
      <c r="D326" s="42"/>
    </row>
    <row r="327">
      <c r="C327" s="42"/>
      <c r="D327" s="42"/>
    </row>
    <row r="328">
      <c r="C328" s="42"/>
      <c r="D328" s="42"/>
    </row>
    <row r="329">
      <c r="C329" s="42"/>
      <c r="D329" s="42"/>
    </row>
    <row r="330">
      <c r="C330" s="42"/>
      <c r="D330" s="42"/>
    </row>
    <row r="331">
      <c r="C331" s="42"/>
      <c r="D331" s="42"/>
    </row>
    <row r="332">
      <c r="C332" s="42"/>
      <c r="D332" s="42"/>
    </row>
    <row r="333">
      <c r="C333" s="42"/>
      <c r="D333" s="42"/>
    </row>
    <row r="334">
      <c r="C334" s="42"/>
      <c r="D334" s="42"/>
    </row>
    <row r="335">
      <c r="C335" s="42"/>
      <c r="D335" s="42"/>
    </row>
    <row r="336">
      <c r="C336" s="42"/>
      <c r="D336" s="42"/>
    </row>
    <row r="337">
      <c r="C337" s="42"/>
      <c r="D337" s="42"/>
    </row>
    <row r="338">
      <c r="C338" s="42"/>
      <c r="D338" s="42"/>
    </row>
    <row r="339">
      <c r="C339" s="42"/>
      <c r="D339" s="42"/>
    </row>
    <row r="340">
      <c r="C340" s="42"/>
      <c r="D340" s="42"/>
    </row>
    <row r="341">
      <c r="C341" s="42"/>
      <c r="D341" s="42"/>
    </row>
    <row r="342">
      <c r="C342" s="42"/>
      <c r="D342" s="42"/>
    </row>
    <row r="343">
      <c r="C343" s="42"/>
      <c r="D343" s="42"/>
    </row>
    <row r="344">
      <c r="C344" s="42"/>
      <c r="D344" s="42"/>
    </row>
    <row r="345">
      <c r="C345" s="42"/>
      <c r="D345" s="42"/>
    </row>
    <row r="346">
      <c r="C346" s="42"/>
      <c r="D346" s="42"/>
    </row>
    <row r="347">
      <c r="C347" s="42"/>
      <c r="D347" s="42"/>
    </row>
    <row r="348">
      <c r="C348" s="42"/>
      <c r="D348" s="42"/>
    </row>
    <row r="349">
      <c r="C349" s="42"/>
      <c r="D349" s="42"/>
    </row>
    <row r="350">
      <c r="C350" s="42"/>
      <c r="D350" s="42"/>
    </row>
    <row r="351">
      <c r="C351" s="42"/>
      <c r="D351" s="42"/>
    </row>
    <row r="352">
      <c r="C352" s="42"/>
      <c r="D352" s="42"/>
    </row>
    <row r="353">
      <c r="C353" s="42"/>
      <c r="D353" s="42"/>
    </row>
    <row r="354">
      <c r="C354" s="42"/>
      <c r="D354" s="42"/>
    </row>
    <row r="355">
      <c r="C355" s="42"/>
      <c r="D355" s="42"/>
    </row>
    <row r="356">
      <c r="C356" s="42"/>
      <c r="D356" s="42"/>
    </row>
    <row r="357">
      <c r="C357" s="42"/>
      <c r="D357" s="42"/>
    </row>
    <row r="358">
      <c r="C358" s="42"/>
      <c r="D358" s="42"/>
    </row>
    <row r="359">
      <c r="C359" s="42"/>
      <c r="D359" s="42"/>
    </row>
    <row r="360">
      <c r="C360" s="42"/>
      <c r="D360" s="42"/>
    </row>
    <row r="361">
      <c r="C361" s="42"/>
      <c r="D361" s="42"/>
    </row>
    <row r="362">
      <c r="C362" s="42"/>
      <c r="D362" s="42"/>
    </row>
    <row r="363">
      <c r="C363" s="42"/>
      <c r="D363" s="42"/>
    </row>
    <row r="364">
      <c r="C364" s="42"/>
      <c r="D364" s="42"/>
    </row>
    <row r="365">
      <c r="C365" s="42"/>
      <c r="D365" s="42"/>
    </row>
    <row r="366">
      <c r="C366" s="42"/>
      <c r="D366" s="42"/>
    </row>
    <row r="367">
      <c r="C367" s="42"/>
      <c r="D367" s="42"/>
    </row>
    <row r="368">
      <c r="C368" s="42"/>
      <c r="D368" s="42"/>
    </row>
    <row r="369">
      <c r="C369" s="42"/>
      <c r="D369" s="42"/>
    </row>
    <row r="370">
      <c r="C370" s="42"/>
      <c r="D370" s="42"/>
    </row>
    <row r="371">
      <c r="C371" s="42"/>
      <c r="D371" s="42"/>
    </row>
    <row r="372">
      <c r="C372" s="42"/>
      <c r="D372" s="42"/>
    </row>
    <row r="373">
      <c r="C373" s="42"/>
      <c r="D373" s="42"/>
    </row>
    <row r="374">
      <c r="C374" s="42"/>
      <c r="D374" s="42"/>
    </row>
    <row r="375">
      <c r="C375" s="42"/>
      <c r="D375" s="42"/>
    </row>
    <row r="376">
      <c r="C376" s="42"/>
      <c r="D376" s="42"/>
    </row>
    <row r="377">
      <c r="C377" s="42"/>
      <c r="D377" s="42"/>
    </row>
    <row r="378">
      <c r="C378" s="42"/>
      <c r="D378" s="42"/>
    </row>
    <row r="379">
      <c r="C379" s="42"/>
      <c r="D379" s="42"/>
    </row>
    <row r="380">
      <c r="C380" s="42"/>
      <c r="D380" s="42"/>
    </row>
    <row r="381">
      <c r="C381" s="42"/>
      <c r="D381" s="42"/>
    </row>
    <row r="382">
      <c r="C382" s="42"/>
      <c r="D382" s="42"/>
    </row>
    <row r="383">
      <c r="C383" s="42"/>
      <c r="D383" s="42"/>
    </row>
    <row r="384">
      <c r="C384" s="42"/>
      <c r="D384" s="42"/>
    </row>
    <row r="385">
      <c r="C385" s="42"/>
      <c r="D385" s="42"/>
    </row>
    <row r="386">
      <c r="C386" s="42"/>
      <c r="D386" s="42"/>
    </row>
    <row r="387">
      <c r="C387" s="42"/>
      <c r="D387" s="42"/>
    </row>
    <row r="388">
      <c r="C388" s="42"/>
      <c r="D388" s="42"/>
    </row>
    <row r="389">
      <c r="C389" s="42"/>
      <c r="D389" s="42"/>
    </row>
    <row r="390">
      <c r="C390" s="42"/>
      <c r="D390" s="42"/>
    </row>
    <row r="391">
      <c r="C391" s="42"/>
      <c r="D391" s="42"/>
    </row>
    <row r="392">
      <c r="C392" s="42"/>
      <c r="D392" s="42"/>
    </row>
    <row r="393">
      <c r="C393" s="42"/>
      <c r="D393" s="42"/>
    </row>
    <row r="394">
      <c r="C394" s="42"/>
      <c r="D394" s="42"/>
    </row>
    <row r="395">
      <c r="C395" s="42"/>
      <c r="D395" s="42"/>
    </row>
    <row r="396">
      <c r="C396" s="42"/>
      <c r="D396" s="42"/>
    </row>
    <row r="397">
      <c r="C397" s="42"/>
      <c r="D397" s="42"/>
    </row>
    <row r="398">
      <c r="C398" s="42"/>
      <c r="D398" s="42"/>
    </row>
    <row r="399">
      <c r="C399" s="42"/>
      <c r="D399" s="42"/>
    </row>
    <row r="400">
      <c r="C400" s="42"/>
      <c r="D400" s="42"/>
    </row>
    <row r="401">
      <c r="C401" s="42"/>
      <c r="D401" s="42"/>
    </row>
    <row r="402">
      <c r="C402" s="42"/>
      <c r="D402" s="42"/>
    </row>
    <row r="403">
      <c r="C403" s="42"/>
      <c r="D403" s="42"/>
    </row>
    <row r="404">
      <c r="C404" s="42"/>
      <c r="D404" s="42"/>
    </row>
    <row r="405">
      <c r="C405" s="42"/>
      <c r="D405" s="42"/>
    </row>
    <row r="406">
      <c r="C406" s="42"/>
      <c r="D406" s="42"/>
    </row>
    <row r="407">
      <c r="C407" s="42"/>
      <c r="D407" s="42"/>
    </row>
    <row r="408">
      <c r="C408" s="42"/>
      <c r="D408" s="42"/>
    </row>
    <row r="409">
      <c r="C409" s="42"/>
      <c r="D409" s="42"/>
    </row>
    <row r="410">
      <c r="C410" s="42"/>
      <c r="D410" s="42"/>
    </row>
    <row r="411">
      <c r="C411" s="42"/>
      <c r="D411" s="42"/>
    </row>
    <row r="412">
      <c r="C412" s="42"/>
      <c r="D412" s="42"/>
    </row>
    <row r="413">
      <c r="C413" s="42"/>
      <c r="D413" s="42"/>
    </row>
    <row r="414">
      <c r="C414" s="42"/>
      <c r="D414" s="42"/>
    </row>
    <row r="415">
      <c r="C415" s="42"/>
      <c r="D415" s="42"/>
    </row>
    <row r="416">
      <c r="C416" s="42"/>
      <c r="D416" s="42"/>
    </row>
    <row r="417">
      <c r="C417" s="42"/>
      <c r="D417" s="42"/>
    </row>
    <row r="418">
      <c r="C418" s="42"/>
      <c r="D418" s="42"/>
    </row>
    <row r="419">
      <c r="C419" s="42"/>
      <c r="D419" s="42"/>
    </row>
    <row r="420">
      <c r="C420" s="42"/>
      <c r="D420" s="42"/>
    </row>
    <row r="421">
      <c r="C421" s="42"/>
      <c r="D421" s="42"/>
    </row>
    <row r="422">
      <c r="C422" s="42"/>
      <c r="D422" s="42"/>
    </row>
    <row r="423">
      <c r="C423" s="42"/>
      <c r="D423" s="42"/>
    </row>
    <row r="424">
      <c r="C424" s="42"/>
      <c r="D424" s="42"/>
    </row>
    <row r="425">
      <c r="C425" s="42"/>
      <c r="D425" s="42"/>
    </row>
    <row r="426">
      <c r="C426" s="42"/>
      <c r="D426" s="42"/>
    </row>
    <row r="427">
      <c r="C427" s="42"/>
      <c r="D427" s="42"/>
    </row>
    <row r="428">
      <c r="C428" s="42"/>
      <c r="D428" s="42"/>
    </row>
    <row r="429">
      <c r="C429" s="42"/>
      <c r="D429" s="42"/>
    </row>
    <row r="430">
      <c r="C430" s="42"/>
      <c r="D430" s="42"/>
    </row>
    <row r="431">
      <c r="C431" s="42"/>
      <c r="D431" s="42"/>
    </row>
    <row r="432">
      <c r="C432" s="42"/>
      <c r="D432" s="42"/>
    </row>
    <row r="433">
      <c r="C433" s="42"/>
      <c r="D433" s="42"/>
    </row>
    <row r="434">
      <c r="C434" s="42"/>
      <c r="D434" s="42"/>
    </row>
    <row r="435">
      <c r="C435" s="42"/>
      <c r="D435" s="42"/>
    </row>
    <row r="436">
      <c r="C436" s="42"/>
      <c r="D436" s="42"/>
    </row>
    <row r="437">
      <c r="C437" s="42"/>
      <c r="D437" s="42"/>
    </row>
    <row r="438">
      <c r="C438" s="42"/>
      <c r="D438" s="42"/>
    </row>
    <row r="439">
      <c r="C439" s="42"/>
      <c r="D439" s="42"/>
    </row>
    <row r="440">
      <c r="C440" s="42"/>
      <c r="D440" s="42"/>
    </row>
    <row r="441">
      <c r="C441" s="42"/>
      <c r="D441" s="42"/>
    </row>
    <row r="442">
      <c r="C442" s="42"/>
      <c r="D442" s="42"/>
    </row>
    <row r="443">
      <c r="C443" s="42"/>
      <c r="D443" s="42"/>
    </row>
    <row r="444">
      <c r="C444" s="42"/>
      <c r="D444" s="42"/>
    </row>
    <row r="445">
      <c r="C445" s="42"/>
      <c r="D445" s="42"/>
    </row>
    <row r="446">
      <c r="C446" s="42"/>
      <c r="D446" s="42"/>
    </row>
    <row r="447">
      <c r="C447" s="42"/>
      <c r="D447" s="42"/>
    </row>
    <row r="448">
      <c r="C448" s="42"/>
      <c r="D448" s="42"/>
    </row>
    <row r="449">
      <c r="C449" s="42"/>
      <c r="D449" s="42"/>
    </row>
    <row r="450">
      <c r="C450" s="42"/>
      <c r="D450" s="42"/>
    </row>
    <row r="451">
      <c r="C451" s="42"/>
      <c r="D451" s="42"/>
    </row>
    <row r="452">
      <c r="C452" s="42"/>
      <c r="D452" s="42"/>
    </row>
    <row r="453">
      <c r="C453" s="42"/>
      <c r="D453" s="42"/>
    </row>
    <row r="454">
      <c r="C454" s="42"/>
      <c r="D454" s="42"/>
    </row>
    <row r="455">
      <c r="C455" s="42"/>
      <c r="D455" s="42"/>
    </row>
    <row r="456">
      <c r="C456" s="42"/>
      <c r="D456" s="42"/>
    </row>
    <row r="457">
      <c r="C457" s="42"/>
      <c r="D457" s="42"/>
    </row>
    <row r="458">
      <c r="C458" s="42"/>
      <c r="D458" s="42"/>
    </row>
    <row r="459">
      <c r="C459" s="42"/>
      <c r="D459" s="42"/>
    </row>
    <row r="460">
      <c r="C460" s="42"/>
      <c r="D460" s="42"/>
    </row>
    <row r="461">
      <c r="C461" s="42"/>
      <c r="D461" s="42"/>
    </row>
    <row r="462">
      <c r="C462" s="42"/>
      <c r="D462" s="42"/>
    </row>
    <row r="463">
      <c r="C463" s="42"/>
      <c r="D463" s="42"/>
    </row>
    <row r="464">
      <c r="C464" s="42"/>
      <c r="D464" s="42"/>
    </row>
    <row r="465">
      <c r="C465" s="42"/>
      <c r="D465" s="42"/>
    </row>
    <row r="466">
      <c r="C466" s="42"/>
      <c r="D466" s="42"/>
    </row>
    <row r="467">
      <c r="C467" s="42"/>
      <c r="D467" s="42"/>
    </row>
    <row r="468">
      <c r="C468" s="42"/>
      <c r="D468" s="42"/>
    </row>
    <row r="469">
      <c r="C469" s="42"/>
      <c r="D469" s="42"/>
    </row>
    <row r="470">
      <c r="C470" s="42"/>
      <c r="D470" s="42"/>
    </row>
    <row r="471">
      <c r="C471" s="42"/>
      <c r="D471" s="42"/>
    </row>
    <row r="472">
      <c r="C472" s="42"/>
      <c r="D472" s="42"/>
    </row>
    <row r="473">
      <c r="C473" s="42"/>
      <c r="D473" s="42"/>
    </row>
    <row r="474">
      <c r="C474" s="42"/>
      <c r="D474" s="42"/>
    </row>
    <row r="475">
      <c r="C475" s="42"/>
      <c r="D475" s="42"/>
    </row>
    <row r="476">
      <c r="C476" s="42"/>
      <c r="D476" s="42"/>
    </row>
    <row r="477">
      <c r="C477" s="42"/>
      <c r="D477" s="42"/>
    </row>
    <row r="478">
      <c r="C478" s="42"/>
      <c r="D478" s="42"/>
    </row>
    <row r="479">
      <c r="C479" s="42"/>
      <c r="D479" s="42"/>
    </row>
    <row r="480">
      <c r="C480" s="42"/>
      <c r="D480" s="42"/>
    </row>
    <row r="481">
      <c r="C481" s="42"/>
      <c r="D481" s="42"/>
    </row>
    <row r="482">
      <c r="C482" s="42"/>
      <c r="D482" s="42"/>
    </row>
    <row r="483">
      <c r="C483" s="42"/>
      <c r="D483" s="42"/>
    </row>
    <row r="484">
      <c r="C484" s="42"/>
      <c r="D484" s="42"/>
    </row>
    <row r="485">
      <c r="C485" s="42"/>
      <c r="D485" s="42"/>
    </row>
    <row r="486">
      <c r="C486" s="42"/>
      <c r="D486" s="42"/>
    </row>
    <row r="487">
      <c r="C487" s="42"/>
      <c r="D487" s="42"/>
    </row>
    <row r="488">
      <c r="C488" s="42"/>
      <c r="D488" s="42"/>
    </row>
    <row r="489">
      <c r="C489" s="42"/>
      <c r="D489" s="42"/>
    </row>
    <row r="490">
      <c r="C490" s="42"/>
      <c r="D490" s="42"/>
    </row>
    <row r="491">
      <c r="C491" s="42"/>
      <c r="D491" s="42"/>
    </row>
    <row r="492">
      <c r="C492" s="42"/>
      <c r="D492" s="42"/>
    </row>
    <row r="493">
      <c r="C493" s="42"/>
      <c r="D493" s="42"/>
    </row>
    <row r="494">
      <c r="C494" s="42"/>
      <c r="D494" s="42"/>
    </row>
    <row r="495">
      <c r="C495" s="42"/>
      <c r="D495" s="42"/>
    </row>
    <row r="496">
      <c r="C496" s="42"/>
      <c r="D496" s="42"/>
    </row>
    <row r="497">
      <c r="C497" s="42"/>
      <c r="D497" s="42"/>
    </row>
    <row r="498">
      <c r="C498" s="42"/>
      <c r="D498" s="42"/>
    </row>
    <row r="499">
      <c r="C499" s="42"/>
      <c r="D499" s="42"/>
    </row>
    <row r="500">
      <c r="C500" s="42"/>
      <c r="D500" s="42"/>
    </row>
    <row r="501">
      <c r="C501" s="42"/>
      <c r="D501" s="42"/>
    </row>
    <row r="502">
      <c r="C502" s="42"/>
      <c r="D502" s="42"/>
    </row>
    <row r="503">
      <c r="C503" s="42"/>
      <c r="D503" s="42"/>
    </row>
    <row r="504">
      <c r="C504" s="42"/>
      <c r="D504" s="42"/>
    </row>
    <row r="505">
      <c r="C505" s="42"/>
      <c r="D505" s="42"/>
    </row>
    <row r="506">
      <c r="C506" s="42"/>
      <c r="D506" s="42"/>
    </row>
    <row r="507">
      <c r="C507" s="42"/>
      <c r="D507" s="42"/>
    </row>
    <row r="508">
      <c r="C508" s="42"/>
      <c r="D508" s="42"/>
    </row>
    <row r="509">
      <c r="C509" s="42"/>
      <c r="D509" s="42"/>
    </row>
    <row r="510">
      <c r="C510" s="42"/>
      <c r="D510" s="42"/>
    </row>
    <row r="511">
      <c r="C511" s="42"/>
      <c r="D511" s="42"/>
    </row>
    <row r="512">
      <c r="C512" s="42"/>
      <c r="D512" s="42"/>
    </row>
    <row r="513">
      <c r="C513" s="42"/>
      <c r="D513" s="42"/>
    </row>
    <row r="514">
      <c r="C514" s="42"/>
      <c r="D514" s="42"/>
    </row>
    <row r="515">
      <c r="C515" s="42"/>
      <c r="D515" s="42"/>
    </row>
    <row r="516">
      <c r="C516" s="42"/>
      <c r="D516" s="42"/>
    </row>
    <row r="517">
      <c r="C517" s="42"/>
      <c r="D517" s="42"/>
    </row>
    <row r="518">
      <c r="C518" s="42"/>
      <c r="D518" s="42"/>
    </row>
    <row r="519">
      <c r="C519" s="42"/>
      <c r="D519" s="42"/>
    </row>
    <row r="520">
      <c r="C520" s="42"/>
      <c r="D520" s="42"/>
    </row>
    <row r="521">
      <c r="C521" s="42"/>
      <c r="D521" s="42"/>
    </row>
    <row r="522">
      <c r="C522" s="42"/>
      <c r="D522" s="42"/>
    </row>
    <row r="523">
      <c r="C523" s="42"/>
      <c r="D523" s="42"/>
    </row>
    <row r="524">
      <c r="C524" s="42"/>
      <c r="D524" s="42"/>
    </row>
    <row r="525">
      <c r="C525" s="42"/>
      <c r="D525" s="42"/>
    </row>
    <row r="526">
      <c r="C526" s="42"/>
      <c r="D526" s="42"/>
    </row>
    <row r="527">
      <c r="C527" s="42"/>
      <c r="D527" s="42"/>
    </row>
    <row r="528">
      <c r="C528" s="42"/>
      <c r="D528" s="42"/>
    </row>
    <row r="529">
      <c r="C529" s="42"/>
      <c r="D529" s="42"/>
    </row>
    <row r="530">
      <c r="C530" s="42"/>
      <c r="D530" s="42"/>
    </row>
    <row r="531">
      <c r="C531" s="42"/>
      <c r="D531" s="42"/>
    </row>
    <row r="532">
      <c r="C532" s="42"/>
      <c r="D532" s="42"/>
    </row>
    <row r="533">
      <c r="C533" s="42"/>
      <c r="D533" s="42"/>
    </row>
    <row r="534">
      <c r="C534" s="42"/>
      <c r="D534" s="42"/>
    </row>
    <row r="535">
      <c r="C535" s="42"/>
      <c r="D535" s="42"/>
    </row>
    <row r="536">
      <c r="C536" s="42"/>
      <c r="D536" s="42"/>
    </row>
    <row r="537">
      <c r="C537" s="42"/>
      <c r="D537" s="42"/>
    </row>
    <row r="538">
      <c r="C538" s="42"/>
      <c r="D538" s="42"/>
    </row>
    <row r="539">
      <c r="C539" s="42"/>
      <c r="D539" s="42"/>
    </row>
    <row r="540">
      <c r="C540" s="42"/>
      <c r="D540" s="42"/>
    </row>
    <row r="541">
      <c r="C541" s="42"/>
      <c r="D541" s="42"/>
    </row>
    <row r="542">
      <c r="C542" s="42"/>
      <c r="D542" s="42"/>
    </row>
    <row r="543">
      <c r="C543" s="42"/>
      <c r="D543" s="42"/>
    </row>
    <row r="544">
      <c r="C544" s="42"/>
      <c r="D544" s="42"/>
    </row>
    <row r="545">
      <c r="C545" s="42"/>
      <c r="D545" s="42"/>
    </row>
    <row r="546">
      <c r="C546" s="42"/>
      <c r="D546" s="42"/>
    </row>
    <row r="547">
      <c r="C547" s="42"/>
      <c r="D547" s="42"/>
    </row>
    <row r="548">
      <c r="C548" s="42"/>
      <c r="D548" s="42"/>
    </row>
    <row r="549">
      <c r="C549" s="42"/>
      <c r="D549" s="42"/>
    </row>
    <row r="550">
      <c r="C550" s="42"/>
      <c r="D550" s="42"/>
    </row>
    <row r="551">
      <c r="C551" s="42"/>
      <c r="D551" s="42"/>
    </row>
    <row r="552">
      <c r="C552" s="42"/>
      <c r="D552" s="42"/>
    </row>
    <row r="553">
      <c r="C553" s="42"/>
      <c r="D553" s="42"/>
    </row>
    <row r="554">
      <c r="C554" s="42"/>
      <c r="D554" s="42"/>
    </row>
    <row r="555">
      <c r="C555" s="42"/>
      <c r="D555" s="42"/>
    </row>
    <row r="556">
      <c r="C556" s="42"/>
      <c r="D556" s="42"/>
    </row>
    <row r="557">
      <c r="C557" s="42"/>
      <c r="D557" s="42"/>
    </row>
    <row r="558">
      <c r="C558" s="42"/>
      <c r="D558" s="42"/>
    </row>
    <row r="559">
      <c r="C559" s="42"/>
      <c r="D559" s="42"/>
    </row>
    <row r="560">
      <c r="C560" s="42"/>
      <c r="D560" s="42"/>
    </row>
    <row r="561">
      <c r="C561" s="42"/>
      <c r="D561" s="42"/>
    </row>
    <row r="562">
      <c r="C562" s="42"/>
      <c r="D562" s="42"/>
    </row>
    <row r="563">
      <c r="C563" s="42"/>
      <c r="D563" s="42"/>
    </row>
    <row r="564">
      <c r="C564" s="42"/>
      <c r="D564" s="42"/>
    </row>
    <row r="565">
      <c r="C565" s="42"/>
      <c r="D565" s="42"/>
    </row>
    <row r="566">
      <c r="C566" s="42"/>
      <c r="D566" s="42"/>
    </row>
    <row r="567">
      <c r="C567" s="42"/>
      <c r="D567" s="42"/>
    </row>
    <row r="568">
      <c r="C568" s="42"/>
      <c r="D568" s="42"/>
    </row>
    <row r="569">
      <c r="C569" s="42"/>
      <c r="D569" s="42"/>
    </row>
    <row r="570">
      <c r="C570" s="42"/>
      <c r="D570" s="42"/>
    </row>
    <row r="571">
      <c r="C571" s="42"/>
      <c r="D571" s="42"/>
    </row>
    <row r="572">
      <c r="C572" s="42"/>
      <c r="D572" s="42"/>
    </row>
    <row r="573">
      <c r="C573" s="42"/>
      <c r="D573" s="42"/>
    </row>
    <row r="574">
      <c r="C574" s="42"/>
      <c r="D574" s="42"/>
    </row>
    <row r="575">
      <c r="C575" s="42"/>
      <c r="D575" s="42"/>
    </row>
    <row r="576">
      <c r="C576" s="42"/>
      <c r="D576" s="42"/>
    </row>
    <row r="577">
      <c r="C577" s="42"/>
      <c r="D577" s="42"/>
    </row>
    <row r="578">
      <c r="C578" s="42"/>
      <c r="D578" s="42"/>
    </row>
    <row r="579">
      <c r="C579" s="42"/>
      <c r="D579" s="42"/>
    </row>
    <row r="580">
      <c r="C580" s="42"/>
      <c r="D580" s="42"/>
    </row>
    <row r="581">
      <c r="C581" s="42"/>
      <c r="D581" s="42"/>
    </row>
    <row r="582">
      <c r="C582" s="42"/>
      <c r="D582" s="42"/>
    </row>
    <row r="583">
      <c r="C583" s="42"/>
      <c r="D583" s="42"/>
    </row>
    <row r="584">
      <c r="C584" s="42"/>
      <c r="D584" s="42"/>
    </row>
    <row r="585">
      <c r="C585" s="42"/>
      <c r="D585" s="42"/>
    </row>
    <row r="586">
      <c r="C586" s="42"/>
      <c r="D586" s="42"/>
    </row>
    <row r="587">
      <c r="C587" s="42"/>
      <c r="D587" s="42"/>
    </row>
    <row r="588">
      <c r="C588" s="42"/>
      <c r="D588" s="42"/>
    </row>
    <row r="589">
      <c r="C589" s="42"/>
      <c r="D589" s="42"/>
    </row>
    <row r="590">
      <c r="C590" s="42"/>
      <c r="D590" s="42"/>
    </row>
    <row r="591">
      <c r="C591" s="42"/>
      <c r="D591" s="42"/>
    </row>
    <row r="592">
      <c r="C592" s="42"/>
      <c r="D592" s="42"/>
    </row>
    <row r="593">
      <c r="C593" s="42"/>
      <c r="D593" s="42"/>
    </row>
    <row r="594">
      <c r="C594" s="42"/>
      <c r="D594" s="42"/>
    </row>
    <row r="595">
      <c r="C595" s="42"/>
      <c r="D595" s="42"/>
    </row>
    <row r="596">
      <c r="C596" s="42"/>
      <c r="D596" s="42"/>
    </row>
    <row r="597">
      <c r="C597" s="42"/>
      <c r="D597" s="42"/>
    </row>
    <row r="598">
      <c r="C598" s="42"/>
      <c r="D598" s="42"/>
    </row>
    <row r="599">
      <c r="C599" s="42"/>
      <c r="D599" s="42"/>
    </row>
    <row r="600">
      <c r="C600" s="42"/>
      <c r="D600" s="42"/>
    </row>
    <row r="601">
      <c r="C601" s="42"/>
      <c r="D601" s="42"/>
    </row>
    <row r="602">
      <c r="C602" s="42"/>
      <c r="D602" s="42"/>
    </row>
    <row r="603">
      <c r="C603" s="42"/>
      <c r="D603" s="42"/>
    </row>
    <row r="604">
      <c r="C604" s="42"/>
      <c r="D604" s="42"/>
    </row>
    <row r="605">
      <c r="C605" s="42"/>
      <c r="D605" s="42"/>
    </row>
    <row r="606">
      <c r="C606" s="42"/>
      <c r="D606" s="42"/>
    </row>
    <row r="607">
      <c r="C607" s="42"/>
      <c r="D607" s="42"/>
    </row>
    <row r="608">
      <c r="C608" s="42"/>
      <c r="D608" s="42"/>
    </row>
    <row r="609">
      <c r="C609" s="42"/>
      <c r="D609" s="42"/>
    </row>
    <row r="610">
      <c r="C610" s="42"/>
      <c r="D610" s="42"/>
    </row>
    <row r="611">
      <c r="C611" s="42"/>
      <c r="D611" s="42"/>
    </row>
    <row r="612">
      <c r="C612" s="42"/>
      <c r="D612" s="42"/>
    </row>
    <row r="613">
      <c r="C613" s="42"/>
      <c r="D613" s="42"/>
    </row>
    <row r="614">
      <c r="C614" s="42"/>
      <c r="D614" s="42"/>
    </row>
    <row r="615">
      <c r="C615" s="42"/>
      <c r="D615" s="42"/>
    </row>
    <row r="616">
      <c r="C616" s="42"/>
      <c r="D616" s="42"/>
    </row>
    <row r="617">
      <c r="C617" s="42"/>
      <c r="D617" s="42"/>
    </row>
    <row r="618">
      <c r="C618" s="42"/>
      <c r="D618" s="42"/>
    </row>
    <row r="619">
      <c r="C619" s="42"/>
      <c r="D619" s="42"/>
    </row>
    <row r="620">
      <c r="C620" s="42"/>
      <c r="D620" s="42"/>
    </row>
    <row r="621">
      <c r="C621" s="42"/>
      <c r="D621" s="42"/>
    </row>
    <row r="622">
      <c r="C622" s="42"/>
      <c r="D622" s="42"/>
    </row>
    <row r="623">
      <c r="C623" s="42"/>
      <c r="D623" s="42"/>
    </row>
    <row r="624">
      <c r="C624" s="42"/>
      <c r="D624" s="42"/>
    </row>
    <row r="625">
      <c r="C625" s="42"/>
      <c r="D625" s="42"/>
    </row>
    <row r="626">
      <c r="C626" s="42"/>
      <c r="D626" s="42"/>
    </row>
    <row r="627">
      <c r="C627" s="42"/>
      <c r="D627" s="42"/>
    </row>
    <row r="628">
      <c r="C628" s="42"/>
      <c r="D628" s="42"/>
    </row>
    <row r="629">
      <c r="C629" s="42"/>
      <c r="D629" s="42"/>
    </row>
    <row r="630">
      <c r="C630" s="42"/>
      <c r="D630" s="42"/>
    </row>
    <row r="631">
      <c r="C631" s="42"/>
      <c r="D631" s="42"/>
    </row>
    <row r="632">
      <c r="C632" s="42"/>
      <c r="D632" s="42"/>
    </row>
    <row r="633">
      <c r="C633" s="42"/>
      <c r="D633" s="42"/>
    </row>
    <row r="634">
      <c r="C634" s="42"/>
      <c r="D634" s="42"/>
    </row>
    <row r="635">
      <c r="C635" s="42"/>
      <c r="D635" s="42"/>
    </row>
    <row r="636">
      <c r="C636" s="42"/>
      <c r="D636" s="42"/>
    </row>
    <row r="637">
      <c r="C637" s="42"/>
      <c r="D637" s="42"/>
    </row>
    <row r="638">
      <c r="C638" s="42"/>
      <c r="D638" s="42"/>
    </row>
    <row r="639">
      <c r="C639" s="42"/>
      <c r="D639" s="42"/>
    </row>
    <row r="640">
      <c r="C640" s="42"/>
      <c r="D640" s="42"/>
    </row>
    <row r="641">
      <c r="C641" s="42"/>
      <c r="D641" s="42"/>
    </row>
    <row r="642">
      <c r="C642" s="42"/>
      <c r="D642" s="42"/>
    </row>
    <row r="643">
      <c r="C643" s="42"/>
      <c r="D643" s="42"/>
    </row>
    <row r="644">
      <c r="C644" s="42"/>
      <c r="D644" s="42"/>
    </row>
    <row r="645">
      <c r="C645" s="42"/>
      <c r="D645" s="42"/>
    </row>
    <row r="646">
      <c r="C646" s="42"/>
      <c r="D646" s="42"/>
    </row>
    <row r="647">
      <c r="C647" s="42"/>
      <c r="D647" s="42"/>
    </row>
    <row r="648">
      <c r="C648" s="42"/>
      <c r="D648" s="42"/>
    </row>
    <row r="649">
      <c r="C649" s="42"/>
      <c r="D649" s="42"/>
    </row>
    <row r="650">
      <c r="C650" s="42"/>
      <c r="D650" s="42"/>
    </row>
    <row r="651">
      <c r="C651" s="42"/>
      <c r="D651" s="42"/>
    </row>
    <row r="652">
      <c r="C652" s="42"/>
      <c r="D652" s="42"/>
    </row>
    <row r="653">
      <c r="C653" s="42"/>
      <c r="D653" s="42"/>
    </row>
    <row r="654">
      <c r="C654" s="42"/>
      <c r="D654" s="42"/>
    </row>
    <row r="655">
      <c r="C655" s="42"/>
      <c r="D655" s="42"/>
    </row>
    <row r="656">
      <c r="C656" s="42"/>
      <c r="D656" s="42"/>
    </row>
    <row r="657">
      <c r="C657" s="42"/>
      <c r="D657" s="42"/>
    </row>
    <row r="658">
      <c r="C658" s="42"/>
      <c r="D658" s="42"/>
    </row>
    <row r="659">
      <c r="C659" s="42"/>
      <c r="D659" s="42"/>
    </row>
    <row r="660">
      <c r="C660" s="42"/>
      <c r="D660" s="42"/>
    </row>
    <row r="661">
      <c r="C661" s="42"/>
      <c r="D661" s="42"/>
    </row>
    <row r="662">
      <c r="C662" s="42"/>
      <c r="D662" s="42"/>
    </row>
    <row r="663">
      <c r="C663" s="42"/>
      <c r="D663" s="42"/>
    </row>
    <row r="664">
      <c r="C664" s="42"/>
      <c r="D664" s="42"/>
    </row>
    <row r="665">
      <c r="C665" s="42"/>
      <c r="D665" s="42"/>
    </row>
    <row r="666">
      <c r="C666" s="42"/>
      <c r="D666" s="42"/>
    </row>
    <row r="667">
      <c r="C667" s="42"/>
      <c r="D667" s="42"/>
    </row>
    <row r="668">
      <c r="C668" s="42"/>
      <c r="D668" s="42"/>
    </row>
    <row r="669">
      <c r="C669" s="42"/>
      <c r="D669" s="42"/>
    </row>
    <row r="670">
      <c r="C670" s="42"/>
      <c r="D670" s="42"/>
    </row>
    <row r="671">
      <c r="C671" s="42"/>
      <c r="D671" s="42"/>
    </row>
    <row r="672">
      <c r="C672" s="42"/>
      <c r="D672" s="42"/>
    </row>
    <row r="673">
      <c r="C673" s="42"/>
      <c r="D673" s="42"/>
    </row>
    <row r="674">
      <c r="C674" s="42"/>
      <c r="D674" s="42"/>
    </row>
    <row r="675">
      <c r="C675" s="42"/>
      <c r="D675" s="42"/>
    </row>
    <row r="676">
      <c r="C676" s="42"/>
      <c r="D676" s="42"/>
    </row>
    <row r="677">
      <c r="C677" s="42"/>
      <c r="D677" s="42"/>
    </row>
    <row r="678">
      <c r="C678" s="42"/>
      <c r="D678" s="42"/>
    </row>
    <row r="679">
      <c r="C679" s="42"/>
      <c r="D679" s="42"/>
    </row>
    <row r="680">
      <c r="C680" s="42"/>
      <c r="D680" s="42"/>
    </row>
    <row r="681">
      <c r="C681" s="42"/>
      <c r="D681" s="42"/>
    </row>
    <row r="682">
      <c r="C682" s="42"/>
      <c r="D682" s="42"/>
    </row>
    <row r="683">
      <c r="C683" s="42"/>
      <c r="D683" s="42"/>
    </row>
    <row r="684">
      <c r="C684" s="42"/>
      <c r="D684" s="42"/>
    </row>
    <row r="685">
      <c r="C685" s="42"/>
      <c r="D685" s="42"/>
    </row>
    <row r="686">
      <c r="C686" s="42"/>
      <c r="D686" s="42"/>
    </row>
    <row r="687">
      <c r="C687" s="42"/>
      <c r="D687" s="42"/>
    </row>
    <row r="688">
      <c r="C688" s="42"/>
      <c r="D688" s="42"/>
    </row>
    <row r="689">
      <c r="C689" s="42"/>
      <c r="D689" s="42"/>
    </row>
    <row r="690">
      <c r="C690" s="42"/>
      <c r="D690" s="42"/>
    </row>
    <row r="691">
      <c r="C691" s="42"/>
      <c r="D691" s="42"/>
    </row>
    <row r="692">
      <c r="C692" s="42"/>
      <c r="D692" s="42"/>
    </row>
    <row r="693">
      <c r="C693" s="42"/>
      <c r="D693" s="42"/>
    </row>
    <row r="694">
      <c r="C694" s="42"/>
      <c r="D694" s="42"/>
    </row>
    <row r="695">
      <c r="C695" s="42"/>
      <c r="D695" s="42"/>
    </row>
    <row r="696">
      <c r="C696" s="42"/>
      <c r="D696" s="42"/>
    </row>
    <row r="697">
      <c r="C697" s="42"/>
      <c r="D697" s="42"/>
    </row>
    <row r="698">
      <c r="C698" s="42"/>
      <c r="D698" s="42"/>
    </row>
    <row r="699">
      <c r="C699" s="42"/>
      <c r="D699" s="42"/>
    </row>
    <row r="700">
      <c r="C700" s="42"/>
      <c r="D700" s="42"/>
    </row>
    <row r="701">
      <c r="C701" s="42"/>
      <c r="D701" s="42"/>
    </row>
    <row r="702">
      <c r="C702" s="42"/>
      <c r="D702" s="42"/>
    </row>
    <row r="703">
      <c r="C703" s="42"/>
      <c r="D703" s="42"/>
    </row>
    <row r="704">
      <c r="C704" s="42"/>
      <c r="D704" s="42"/>
    </row>
    <row r="705">
      <c r="C705" s="42"/>
      <c r="D705" s="42"/>
    </row>
    <row r="706">
      <c r="C706" s="42"/>
      <c r="D706" s="42"/>
    </row>
    <row r="707">
      <c r="C707" s="42"/>
      <c r="D707" s="42"/>
    </row>
    <row r="708">
      <c r="C708" s="42"/>
      <c r="D708" s="42"/>
    </row>
    <row r="709">
      <c r="C709" s="42"/>
      <c r="D709" s="42"/>
    </row>
    <row r="710">
      <c r="C710" s="42"/>
      <c r="D710" s="42"/>
    </row>
    <row r="711">
      <c r="C711" s="42"/>
      <c r="D711" s="42"/>
    </row>
    <row r="712">
      <c r="C712" s="42"/>
      <c r="D712" s="42"/>
    </row>
    <row r="713">
      <c r="C713" s="42"/>
      <c r="D713" s="42"/>
    </row>
    <row r="714">
      <c r="C714" s="42"/>
      <c r="D714" s="42"/>
    </row>
    <row r="715">
      <c r="C715" s="42"/>
      <c r="D715" s="42"/>
    </row>
    <row r="716">
      <c r="C716" s="42"/>
      <c r="D716" s="42"/>
    </row>
    <row r="717">
      <c r="C717" s="42"/>
      <c r="D717" s="42"/>
    </row>
    <row r="718">
      <c r="C718" s="42"/>
      <c r="D718" s="42"/>
    </row>
    <row r="719">
      <c r="C719" s="42"/>
      <c r="D719" s="42"/>
    </row>
    <row r="720">
      <c r="C720" s="42"/>
      <c r="D720" s="42"/>
    </row>
    <row r="721">
      <c r="C721" s="42"/>
      <c r="D721" s="42"/>
    </row>
    <row r="722">
      <c r="C722" s="42"/>
      <c r="D722" s="42"/>
    </row>
    <row r="723">
      <c r="C723" s="42"/>
      <c r="D723" s="42"/>
    </row>
    <row r="724">
      <c r="C724" s="42"/>
      <c r="D724" s="42"/>
    </row>
    <row r="725">
      <c r="C725" s="42"/>
      <c r="D725" s="42"/>
    </row>
    <row r="726">
      <c r="C726" s="42"/>
      <c r="D726" s="42"/>
    </row>
    <row r="727">
      <c r="C727" s="42"/>
      <c r="D727" s="42"/>
    </row>
    <row r="728">
      <c r="C728" s="42"/>
      <c r="D728" s="42"/>
    </row>
    <row r="729">
      <c r="C729" s="42"/>
      <c r="D729" s="42"/>
    </row>
    <row r="730">
      <c r="C730" s="42"/>
      <c r="D730" s="42"/>
    </row>
    <row r="731">
      <c r="C731" s="42"/>
      <c r="D731" s="42"/>
    </row>
    <row r="732">
      <c r="C732" s="42"/>
      <c r="D732" s="42"/>
    </row>
    <row r="733">
      <c r="C733" s="42"/>
      <c r="D733" s="42"/>
    </row>
    <row r="734">
      <c r="C734" s="42"/>
      <c r="D734" s="42"/>
    </row>
    <row r="735">
      <c r="C735" s="42"/>
      <c r="D735" s="42"/>
    </row>
    <row r="736">
      <c r="C736" s="42"/>
      <c r="D736" s="42"/>
    </row>
    <row r="737">
      <c r="C737" s="42"/>
      <c r="D737" s="42"/>
    </row>
    <row r="738">
      <c r="C738" s="42"/>
      <c r="D738" s="42"/>
    </row>
    <row r="739">
      <c r="C739" s="42"/>
      <c r="D739" s="42"/>
    </row>
    <row r="740">
      <c r="C740" s="42"/>
      <c r="D740" s="42"/>
    </row>
    <row r="741">
      <c r="C741" s="42"/>
      <c r="D741" s="42"/>
    </row>
    <row r="742">
      <c r="C742" s="42"/>
      <c r="D742" s="42"/>
    </row>
    <row r="743">
      <c r="C743" s="42"/>
      <c r="D743" s="42"/>
    </row>
    <row r="744">
      <c r="C744" s="42"/>
      <c r="D744" s="42"/>
    </row>
    <row r="745">
      <c r="C745" s="42"/>
      <c r="D745" s="42"/>
    </row>
    <row r="746">
      <c r="C746" s="42"/>
      <c r="D746" s="42"/>
    </row>
    <row r="747">
      <c r="C747" s="42"/>
      <c r="D747" s="42"/>
    </row>
    <row r="748">
      <c r="C748" s="42"/>
      <c r="D748" s="42"/>
    </row>
    <row r="749">
      <c r="C749" s="42"/>
      <c r="D749" s="42"/>
    </row>
    <row r="750">
      <c r="C750" s="42"/>
      <c r="D750" s="42"/>
    </row>
    <row r="751">
      <c r="C751" s="42"/>
      <c r="D751" s="42"/>
    </row>
    <row r="752">
      <c r="C752" s="42"/>
      <c r="D752" s="42"/>
    </row>
    <row r="753">
      <c r="C753" s="42"/>
      <c r="D753" s="42"/>
    </row>
    <row r="754">
      <c r="C754" s="42"/>
      <c r="D754" s="42"/>
    </row>
    <row r="755">
      <c r="C755" s="42"/>
      <c r="D755" s="42"/>
    </row>
    <row r="756">
      <c r="C756" s="42"/>
      <c r="D756" s="42"/>
    </row>
    <row r="757">
      <c r="C757" s="42"/>
      <c r="D757" s="42"/>
    </row>
    <row r="758">
      <c r="C758" s="42"/>
      <c r="D758" s="42"/>
    </row>
    <row r="759">
      <c r="C759" s="42"/>
      <c r="D759" s="42"/>
    </row>
    <row r="760">
      <c r="C760" s="42"/>
      <c r="D760" s="42"/>
    </row>
    <row r="761">
      <c r="C761" s="42"/>
      <c r="D761" s="42"/>
    </row>
    <row r="762">
      <c r="C762" s="42"/>
      <c r="D762" s="42"/>
    </row>
    <row r="763">
      <c r="C763" s="42"/>
      <c r="D763" s="42"/>
    </row>
    <row r="764">
      <c r="C764" s="42"/>
      <c r="D764" s="42"/>
    </row>
    <row r="765">
      <c r="C765" s="42"/>
      <c r="D765" s="42"/>
    </row>
    <row r="766">
      <c r="C766" s="42"/>
      <c r="D766" s="42"/>
    </row>
    <row r="767">
      <c r="C767" s="42"/>
      <c r="D767" s="42"/>
    </row>
    <row r="768">
      <c r="C768" s="42"/>
      <c r="D768" s="42"/>
    </row>
    <row r="769">
      <c r="C769" s="42"/>
      <c r="D769" s="42"/>
    </row>
    <row r="770">
      <c r="C770" s="42"/>
      <c r="D770" s="42"/>
    </row>
    <row r="771">
      <c r="C771" s="42"/>
      <c r="D771" s="42"/>
    </row>
    <row r="772">
      <c r="C772" s="42"/>
      <c r="D772" s="42"/>
    </row>
    <row r="773">
      <c r="C773" s="42"/>
      <c r="D773" s="42"/>
    </row>
    <row r="774">
      <c r="C774" s="42"/>
      <c r="D774" s="42"/>
    </row>
    <row r="775">
      <c r="C775" s="42"/>
      <c r="D775" s="42"/>
    </row>
    <row r="776">
      <c r="C776" s="42"/>
      <c r="D776" s="42"/>
    </row>
    <row r="777">
      <c r="C777" s="42"/>
      <c r="D777" s="42"/>
    </row>
    <row r="778">
      <c r="C778" s="42"/>
      <c r="D778" s="42"/>
    </row>
    <row r="779">
      <c r="C779" s="42"/>
      <c r="D779" s="42"/>
    </row>
    <row r="780">
      <c r="C780" s="42"/>
      <c r="D780" s="42"/>
    </row>
    <row r="781">
      <c r="C781" s="42"/>
      <c r="D781" s="42"/>
    </row>
    <row r="782">
      <c r="C782" s="42"/>
      <c r="D782" s="42"/>
    </row>
    <row r="783">
      <c r="C783" s="42"/>
      <c r="D783" s="42"/>
    </row>
    <row r="784">
      <c r="C784" s="42"/>
      <c r="D784" s="42"/>
    </row>
    <row r="785">
      <c r="C785" s="42"/>
      <c r="D785" s="42"/>
    </row>
    <row r="786">
      <c r="C786" s="42"/>
      <c r="D786" s="42"/>
    </row>
    <row r="787">
      <c r="C787" s="42"/>
      <c r="D787" s="42"/>
    </row>
    <row r="788">
      <c r="C788" s="42"/>
      <c r="D788" s="42"/>
    </row>
    <row r="789">
      <c r="C789" s="42"/>
      <c r="D789" s="42"/>
    </row>
    <row r="790">
      <c r="C790" s="42"/>
      <c r="D790" s="42"/>
    </row>
    <row r="791">
      <c r="C791" s="42"/>
      <c r="D791" s="42"/>
    </row>
    <row r="792">
      <c r="C792" s="42"/>
      <c r="D792" s="42"/>
    </row>
    <row r="793">
      <c r="C793" s="42"/>
      <c r="D793" s="42"/>
    </row>
    <row r="794">
      <c r="C794" s="42"/>
      <c r="D794" s="42"/>
    </row>
    <row r="795">
      <c r="C795" s="42"/>
      <c r="D795" s="42"/>
    </row>
    <row r="796">
      <c r="C796" s="42"/>
      <c r="D796" s="42"/>
    </row>
    <row r="797">
      <c r="C797" s="42"/>
      <c r="D797" s="42"/>
    </row>
    <row r="798">
      <c r="C798" s="42"/>
      <c r="D798" s="42"/>
    </row>
    <row r="799">
      <c r="C799" s="42"/>
      <c r="D799" s="42"/>
    </row>
    <row r="800">
      <c r="C800" s="42"/>
      <c r="D800" s="42"/>
    </row>
    <row r="801">
      <c r="C801" s="42"/>
      <c r="D801" s="42"/>
    </row>
    <row r="802">
      <c r="C802" s="42"/>
      <c r="D802" s="42"/>
    </row>
    <row r="803">
      <c r="C803" s="42"/>
      <c r="D803" s="42"/>
    </row>
    <row r="804">
      <c r="C804" s="42"/>
      <c r="D804" s="42"/>
    </row>
    <row r="805">
      <c r="C805" s="42"/>
      <c r="D805" s="42"/>
    </row>
    <row r="806">
      <c r="C806" s="42"/>
      <c r="D806" s="42"/>
    </row>
    <row r="807">
      <c r="C807" s="42"/>
      <c r="D807" s="42"/>
    </row>
    <row r="808">
      <c r="C808" s="42"/>
      <c r="D808" s="42"/>
    </row>
    <row r="809">
      <c r="C809" s="42"/>
      <c r="D809" s="42"/>
    </row>
    <row r="810">
      <c r="C810" s="42"/>
      <c r="D810" s="42"/>
    </row>
    <row r="811">
      <c r="C811" s="42"/>
      <c r="D811" s="42"/>
    </row>
    <row r="812">
      <c r="C812" s="42"/>
      <c r="D812" s="42"/>
    </row>
    <row r="813">
      <c r="C813" s="42"/>
      <c r="D813" s="42"/>
    </row>
    <row r="814">
      <c r="C814" s="42"/>
      <c r="D814" s="42"/>
    </row>
    <row r="815">
      <c r="C815" s="42"/>
      <c r="D815" s="42"/>
    </row>
    <row r="816">
      <c r="C816" s="42"/>
      <c r="D816" s="42"/>
    </row>
    <row r="817">
      <c r="C817" s="42"/>
      <c r="D817" s="42"/>
    </row>
    <row r="818">
      <c r="C818" s="42"/>
      <c r="D818" s="42"/>
    </row>
    <row r="819">
      <c r="C819" s="42"/>
      <c r="D819" s="42"/>
    </row>
    <row r="820">
      <c r="C820" s="42"/>
      <c r="D820" s="42"/>
    </row>
    <row r="821">
      <c r="C821" s="42"/>
      <c r="D821" s="42"/>
    </row>
    <row r="822">
      <c r="C822" s="42"/>
      <c r="D822" s="42"/>
    </row>
    <row r="823">
      <c r="C823" s="42"/>
      <c r="D823" s="42"/>
    </row>
    <row r="824">
      <c r="C824" s="42"/>
      <c r="D824" s="42"/>
    </row>
    <row r="825">
      <c r="C825" s="42"/>
      <c r="D825" s="42"/>
    </row>
    <row r="826">
      <c r="C826" s="42"/>
      <c r="D826" s="42"/>
    </row>
    <row r="827">
      <c r="C827" s="42"/>
      <c r="D827" s="42"/>
    </row>
    <row r="828">
      <c r="C828" s="42"/>
      <c r="D828" s="42"/>
    </row>
    <row r="829">
      <c r="C829" s="42"/>
      <c r="D829" s="42"/>
    </row>
    <row r="830">
      <c r="C830" s="42"/>
      <c r="D830" s="42"/>
    </row>
    <row r="831">
      <c r="C831" s="42"/>
      <c r="D831" s="42"/>
    </row>
    <row r="832">
      <c r="C832" s="42"/>
      <c r="D832" s="42"/>
    </row>
    <row r="833">
      <c r="C833" s="42"/>
      <c r="D833" s="42"/>
    </row>
    <row r="834">
      <c r="C834" s="42"/>
      <c r="D834" s="42"/>
    </row>
    <row r="835">
      <c r="C835" s="42"/>
      <c r="D835" s="42"/>
    </row>
    <row r="836">
      <c r="C836" s="42"/>
      <c r="D836" s="42"/>
    </row>
    <row r="837">
      <c r="C837" s="42"/>
      <c r="D837" s="42"/>
    </row>
    <row r="838">
      <c r="C838" s="42"/>
      <c r="D838" s="42"/>
    </row>
    <row r="839">
      <c r="C839" s="42"/>
      <c r="D839" s="42"/>
    </row>
    <row r="840">
      <c r="C840" s="42"/>
      <c r="D840" s="42"/>
    </row>
    <row r="841">
      <c r="C841" s="42"/>
      <c r="D841" s="42"/>
    </row>
    <row r="842">
      <c r="C842" s="42"/>
      <c r="D842" s="42"/>
    </row>
    <row r="843">
      <c r="C843" s="42"/>
      <c r="D843" s="42"/>
    </row>
    <row r="844">
      <c r="C844" s="42"/>
      <c r="D844" s="42"/>
    </row>
    <row r="845">
      <c r="C845" s="42"/>
      <c r="D845" s="42"/>
    </row>
    <row r="846">
      <c r="C846" s="42"/>
      <c r="D846" s="42"/>
    </row>
    <row r="847">
      <c r="C847" s="42"/>
      <c r="D847" s="42"/>
    </row>
    <row r="848">
      <c r="C848" s="42"/>
      <c r="D848" s="42"/>
    </row>
    <row r="849">
      <c r="C849" s="42"/>
      <c r="D849" s="42"/>
    </row>
    <row r="850">
      <c r="C850" s="42"/>
      <c r="D850" s="42"/>
    </row>
    <row r="851">
      <c r="C851" s="42"/>
      <c r="D851" s="42"/>
    </row>
    <row r="852">
      <c r="C852" s="42"/>
      <c r="D852" s="42"/>
    </row>
    <row r="853">
      <c r="C853" s="42"/>
      <c r="D853" s="42"/>
    </row>
    <row r="854">
      <c r="C854" s="42"/>
      <c r="D854" s="42"/>
    </row>
    <row r="855">
      <c r="C855" s="42"/>
      <c r="D855" s="42"/>
    </row>
    <row r="856">
      <c r="C856" s="42"/>
      <c r="D856" s="42"/>
    </row>
    <row r="857">
      <c r="C857" s="42"/>
      <c r="D857" s="42"/>
    </row>
    <row r="858">
      <c r="C858" s="42"/>
      <c r="D858" s="42"/>
    </row>
    <row r="859">
      <c r="C859" s="42"/>
      <c r="D859" s="42"/>
    </row>
    <row r="860">
      <c r="C860" s="42"/>
      <c r="D860" s="42"/>
    </row>
    <row r="861">
      <c r="C861" s="42"/>
      <c r="D861" s="42"/>
    </row>
    <row r="862">
      <c r="C862" s="42"/>
      <c r="D862" s="42"/>
    </row>
    <row r="863">
      <c r="C863" s="42"/>
      <c r="D863" s="42"/>
    </row>
    <row r="864">
      <c r="C864" s="42"/>
      <c r="D864" s="42"/>
    </row>
    <row r="865">
      <c r="C865" s="42"/>
      <c r="D865" s="42"/>
    </row>
    <row r="866">
      <c r="C866" s="42"/>
      <c r="D866" s="42"/>
    </row>
    <row r="867">
      <c r="C867" s="42"/>
      <c r="D867" s="42"/>
    </row>
    <row r="868">
      <c r="C868" s="42"/>
      <c r="D868" s="42"/>
    </row>
    <row r="869">
      <c r="C869" s="42"/>
      <c r="D869" s="42"/>
    </row>
    <row r="870">
      <c r="C870" s="42"/>
      <c r="D870" s="42"/>
    </row>
    <row r="871">
      <c r="C871" s="42"/>
      <c r="D871" s="42"/>
    </row>
    <row r="872">
      <c r="C872" s="42"/>
      <c r="D872" s="42"/>
    </row>
    <row r="873">
      <c r="C873" s="42"/>
      <c r="D873" s="42"/>
    </row>
    <row r="874">
      <c r="C874" s="42"/>
      <c r="D874" s="42"/>
    </row>
    <row r="875">
      <c r="C875" s="42"/>
      <c r="D875" s="42"/>
    </row>
    <row r="876">
      <c r="C876" s="42"/>
      <c r="D876" s="42"/>
    </row>
    <row r="877">
      <c r="C877" s="42"/>
      <c r="D877" s="42"/>
    </row>
    <row r="878">
      <c r="C878" s="42"/>
      <c r="D878" s="42"/>
    </row>
    <row r="879">
      <c r="C879" s="42"/>
      <c r="D879" s="42"/>
    </row>
    <row r="880">
      <c r="C880" s="42"/>
      <c r="D880" s="42"/>
    </row>
    <row r="881">
      <c r="C881" s="42"/>
      <c r="D881" s="42"/>
    </row>
    <row r="882">
      <c r="C882" s="42"/>
      <c r="D882" s="42"/>
    </row>
    <row r="883">
      <c r="C883" s="42"/>
      <c r="D883" s="42"/>
    </row>
    <row r="884">
      <c r="C884" s="42"/>
      <c r="D884" s="42"/>
    </row>
    <row r="885">
      <c r="C885" s="42"/>
      <c r="D885" s="42"/>
    </row>
    <row r="886">
      <c r="C886" s="42"/>
      <c r="D886" s="42"/>
    </row>
    <row r="887">
      <c r="C887" s="42"/>
      <c r="D887" s="42"/>
    </row>
    <row r="888">
      <c r="C888" s="42"/>
      <c r="D888" s="42"/>
    </row>
    <row r="889">
      <c r="C889" s="42"/>
      <c r="D889" s="42"/>
    </row>
    <row r="890">
      <c r="C890" s="42"/>
      <c r="D890" s="42"/>
    </row>
    <row r="891">
      <c r="C891" s="42"/>
      <c r="D891" s="42"/>
    </row>
    <row r="892">
      <c r="C892" s="42"/>
      <c r="D892" s="42"/>
    </row>
    <row r="893">
      <c r="C893" s="42"/>
      <c r="D893" s="42"/>
    </row>
    <row r="894">
      <c r="C894" s="42"/>
      <c r="D894" s="42"/>
    </row>
    <row r="895">
      <c r="C895" s="42"/>
      <c r="D895" s="42"/>
    </row>
    <row r="896">
      <c r="C896" s="42"/>
      <c r="D896" s="42"/>
    </row>
    <row r="897">
      <c r="C897" s="42"/>
      <c r="D897" s="42"/>
    </row>
    <row r="898">
      <c r="C898" s="42"/>
      <c r="D898" s="42"/>
    </row>
    <row r="899">
      <c r="C899" s="42"/>
      <c r="D899" s="42"/>
    </row>
    <row r="900">
      <c r="C900" s="42"/>
      <c r="D900" s="42"/>
    </row>
    <row r="901">
      <c r="C901" s="42"/>
      <c r="D901" s="42"/>
    </row>
    <row r="902">
      <c r="C902" s="42"/>
      <c r="D902" s="42"/>
    </row>
    <row r="903">
      <c r="C903" s="42"/>
      <c r="D903" s="42"/>
    </row>
    <row r="904">
      <c r="C904" s="42"/>
      <c r="D904" s="42"/>
    </row>
    <row r="905">
      <c r="C905" s="42"/>
      <c r="D905" s="42"/>
    </row>
    <row r="906">
      <c r="C906" s="42"/>
      <c r="D906" s="42"/>
    </row>
    <row r="907">
      <c r="C907" s="42"/>
      <c r="D907" s="42"/>
    </row>
    <row r="908">
      <c r="C908" s="42"/>
      <c r="D908" s="42"/>
    </row>
    <row r="909">
      <c r="C909" s="42"/>
      <c r="D909" s="42"/>
    </row>
    <row r="910">
      <c r="C910" s="42"/>
      <c r="D910" s="42"/>
    </row>
    <row r="911">
      <c r="C911" s="42"/>
      <c r="D911" s="42"/>
    </row>
    <row r="912">
      <c r="C912" s="42"/>
      <c r="D912" s="42"/>
    </row>
    <row r="913">
      <c r="C913" s="42"/>
      <c r="D913" s="42"/>
    </row>
    <row r="914">
      <c r="C914" s="42"/>
      <c r="D914" s="42"/>
    </row>
    <row r="915">
      <c r="C915" s="42"/>
      <c r="D915" s="42"/>
    </row>
    <row r="916">
      <c r="C916" s="42"/>
      <c r="D916" s="42"/>
    </row>
    <row r="917">
      <c r="C917" s="42"/>
      <c r="D917" s="42"/>
    </row>
    <row r="918">
      <c r="C918" s="42"/>
      <c r="D918" s="42"/>
    </row>
    <row r="919">
      <c r="C919" s="42"/>
      <c r="D919" s="42"/>
    </row>
    <row r="920">
      <c r="C920" s="42"/>
      <c r="D920" s="42"/>
    </row>
    <row r="921">
      <c r="C921" s="42"/>
      <c r="D921" s="42"/>
    </row>
    <row r="922">
      <c r="C922" s="42"/>
      <c r="D922" s="42"/>
    </row>
    <row r="923">
      <c r="C923" s="42"/>
      <c r="D923" s="42"/>
    </row>
    <row r="924">
      <c r="C924" s="42"/>
      <c r="D924" s="42"/>
    </row>
    <row r="925">
      <c r="C925" s="42"/>
      <c r="D925" s="42"/>
    </row>
    <row r="926">
      <c r="C926" s="42"/>
      <c r="D926" s="42"/>
    </row>
    <row r="927">
      <c r="C927" s="42"/>
      <c r="D927" s="42"/>
    </row>
    <row r="928">
      <c r="C928" s="42"/>
      <c r="D928" s="42"/>
    </row>
    <row r="929">
      <c r="C929" s="42"/>
      <c r="D929" s="42"/>
    </row>
    <row r="930">
      <c r="C930" s="42"/>
      <c r="D930" s="42"/>
    </row>
    <row r="931">
      <c r="C931" s="42"/>
      <c r="D931" s="42"/>
    </row>
    <row r="932">
      <c r="C932" s="42"/>
      <c r="D932" s="42"/>
    </row>
    <row r="933">
      <c r="C933" s="42"/>
      <c r="D933" s="42"/>
    </row>
    <row r="934">
      <c r="C934" s="42"/>
      <c r="D934" s="42"/>
    </row>
    <row r="935">
      <c r="C935" s="42"/>
      <c r="D935" s="42"/>
    </row>
    <row r="936">
      <c r="C936" s="42"/>
      <c r="D936" s="42"/>
    </row>
    <row r="937">
      <c r="C937" s="42"/>
      <c r="D937" s="42"/>
    </row>
    <row r="938">
      <c r="C938" s="42"/>
      <c r="D938" s="42"/>
    </row>
    <row r="939">
      <c r="C939" s="42"/>
      <c r="D939" s="42"/>
    </row>
    <row r="940">
      <c r="C940" s="42"/>
      <c r="D940" s="42"/>
    </row>
    <row r="941">
      <c r="C941" s="42"/>
      <c r="D941" s="42"/>
    </row>
    <row r="942">
      <c r="C942" s="42"/>
      <c r="D942" s="42"/>
    </row>
    <row r="943">
      <c r="C943" s="42"/>
      <c r="D943" s="42"/>
    </row>
    <row r="944">
      <c r="C944" s="42"/>
      <c r="D944" s="42"/>
    </row>
    <row r="945">
      <c r="C945" s="42"/>
      <c r="D945" s="42"/>
    </row>
    <row r="946">
      <c r="C946" s="42"/>
      <c r="D946" s="42"/>
    </row>
    <row r="947">
      <c r="C947" s="42"/>
      <c r="D947" s="42"/>
    </row>
    <row r="948">
      <c r="C948" s="42"/>
      <c r="D948" s="42"/>
    </row>
    <row r="949">
      <c r="C949" s="42"/>
      <c r="D949" s="42"/>
    </row>
    <row r="950">
      <c r="C950" s="42"/>
      <c r="D950" s="42"/>
    </row>
    <row r="951">
      <c r="C951" s="42"/>
      <c r="D951" s="42"/>
    </row>
    <row r="952">
      <c r="C952" s="42"/>
      <c r="D952" s="42"/>
    </row>
    <row r="953">
      <c r="C953" s="42"/>
      <c r="D953" s="42"/>
    </row>
    <row r="954">
      <c r="C954" s="42"/>
      <c r="D954" s="42"/>
    </row>
    <row r="955">
      <c r="C955" s="42"/>
      <c r="D955" s="42"/>
    </row>
    <row r="956">
      <c r="C956" s="42"/>
      <c r="D956" s="42"/>
    </row>
    <row r="957">
      <c r="C957" s="42"/>
      <c r="D957" s="42"/>
    </row>
    <row r="958">
      <c r="C958" s="42"/>
      <c r="D958" s="42"/>
    </row>
    <row r="959">
      <c r="C959" s="42"/>
      <c r="D959" s="42"/>
    </row>
    <row r="960">
      <c r="C960" s="42"/>
      <c r="D960" s="42"/>
    </row>
    <row r="961">
      <c r="C961" s="42"/>
      <c r="D961" s="42"/>
    </row>
    <row r="962">
      <c r="C962" s="42"/>
      <c r="D962" s="42"/>
    </row>
    <row r="963">
      <c r="C963" s="42"/>
      <c r="D963" s="42"/>
    </row>
    <row r="964">
      <c r="C964" s="42"/>
      <c r="D964" s="42"/>
    </row>
    <row r="965">
      <c r="C965" s="42"/>
      <c r="D965" s="42"/>
    </row>
    <row r="966">
      <c r="C966" s="42"/>
      <c r="D966" s="42"/>
    </row>
    <row r="967">
      <c r="C967" s="42"/>
      <c r="D967" s="42"/>
    </row>
    <row r="968">
      <c r="C968" s="42"/>
      <c r="D968" s="42"/>
    </row>
    <row r="969">
      <c r="C969" s="42"/>
      <c r="D969" s="42"/>
    </row>
    <row r="970">
      <c r="C970" s="42"/>
      <c r="D970" s="42"/>
    </row>
    <row r="971">
      <c r="C971" s="42"/>
      <c r="D971" s="42"/>
    </row>
    <row r="972">
      <c r="C972" s="42"/>
      <c r="D972" s="42"/>
    </row>
    <row r="973">
      <c r="C973" s="42"/>
      <c r="D973" s="42"/>
    </row>
    <row r="974">
      <c r="C974" s="42"/>
      <c r="D974" s="42"/>
    </row>
    <row r="975">
      <c r="C975" s="42"/>
      <c r="D975" s="42"/>
    </row>
    <row r="976">
      <c r="C976" s="42"/>
      <c r="D976" s="42"/>
    </row>
    <row r="977">
      <c r="C977" s="42"/>
      <c r="D977" s="42"/>
    </row>
    <row r="978">
      <c r="C978" s="42"/>
      <c r="D978" s="42"/>
    </row>
    <row r="979">
      <c r="C979" s="42"/>
      <c r="D979" s="42"/>
    </row>
    <row r="980">
      <c r="C980" s="42"/>
      <c r="D980" s="42"/>
    </row>
    <row r="981">
      <c r="C981" s="42"/>
      <c r="D981" s="42"/>
    </row>
    <row r="982">
      <c r="C982" s="42"/>
      <c r="D982" s="42"/>
    </row>
    <row r="983">
      <c r="C983" s="42"/>
      <c r="D983" s="42"/>
    </row>
    <row r="984">
      <c r="C984" s="42"/>
      <c r="D984" s="42"/>
    </row>
    <row r="985">
      <c r="C985" s="42"/>
      <c r="D985" s="42"/>
    </row>
    <row r="986">
      <c r="C986" s="42"/>
      <c r="D986" s="42"/>
    </row>
    <row r="987">
      <c r="C987" s="42"/>
      <c r="D987" s="42"/>
    </row>
    <row r="988">
      <c r="C988" s="42"/>
      <c r="D988" s="42"/>
    </row>
    <row r="989">
      <c r="C989" s="42"/>
      <c r="D989" s="42"/>
    </row>
    <row r="990">
      <c r="C990" s="42"/>
      <c r="D990" s="42"/>
    </row>
    <row r="991">
      <c r="C991" s="42"/>
      <c r="D991" s="42"/>
    </row>
    <row r="992">
      <c r="C992" s="42"/>
      <c r="D992" s="42"/>
    </row>
    <row r="993">
      <c r="C993" s="42"/>
      <c r="D993" s="42"/>
    </row>
    <row r="994">
      <c r="C994" s="42"/>
      <c r="D994" s="42"/>
    </row>
    <row r="995">
      <c r="C995" s="42"/>
      <c r="D995" s="42"/>
    </row>
    <row r="996">
      <c r="C996" s="42"/>
      <c r="D996" s="42"/>
    </row>
    <row r="997">
      <c r="C997" s="42"/>
      <c r="D997" s="42"/>
    </row>
    <row r="998">
      <c r="C998" s="42"/>
      <c r="D998" s="42"/>
    </row>
    <row r="999">
      <c r="C999" s="42"/>
      <c r="D999" s="4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63"/>
    <col customWidth="1" min="2" max="2" width="18.25"/>
    <col customWidth="1" min="3" max="3" width="13.88"/>
    <col customWidth="1" min="4" max="4" width="17.0"/>
    <col customWidth="1" min="5" max="5" width="18.88"/>
    <col customWidth="1" min="6" max="6" width="20.75"/>
    <col customWidth="1" min="10" max="10" width="32.63"/>
    <col customWidth="1" min="11" max="12" width="17.63"/>
    <col customWidth="1" min="15" max="15" width="20.75"/>
    <col customWidth="1" min="18" max="18" width="17.63"/>
    <col customWidth="1" min="19" max="19" width="18.25"/>
    <col customWidth="1" min="20" max="20" width="53.88"/>
  </cols>
  <sheetData>
    <row r="1" ht="45.0" customHeight="1">
      <c r="A1" s="48" t="s">
        <v>99</v>
      </c>
      <c r="B1" s="48" t="s">
        <v>100</v>
      </c>
      <c r="C1" s="48" t="s">
        <v>5</v>
      </c>
      <c r="D1" s="48" t="s">
        <v>101</v>
      </c>
      <c r="E1" s="49" t="s">
        <v>102</v>
      </c>
      <c r="F1" s="48" t="s">
        <v>103</v>
      </c>
      <c r="G1" s="48"/>
      <c r="H1" s="48"/>
      <c r="I1" s="48"/>
      <c r="J1" s="48" t="s">
        <v>104</v>
      </c>
      <c r="K1" s="48" t="s">
        <v>105</v>
      </c>
      <c r="L1" s="48" t="s">
        <v>106</v>
      </c>
      <c r="M1" s="48"/>
      <c r="N1" s="48"/>
      <c r="O1" s="48"/>
      <c r="P1" s="48"/>
      <c r="Q1" s="48" t="s">
        <v>60</v>
      </c>
      <c r="R1" s="48" t="s">
        <v>107</v>
      </c>
      <c r="S1" s="48"/>
      <c r="T1" s="48"/>
    </row>
    <row r="2">
      <c r="A2" s="8" t="str">
        <f>IFERROR(__xludf.DUMMYFUNCTION("VSTACK(FILTER('Base de Dados'!A2:A1100,'Base de Dados'!A2:A1100&lt;&gt;"""",'Base de Dados'!A2:A1100&lt;&gt;""4.2.1 Reuniões Semanais""),J2:J17)"),"1.1.1 Layout da Página Principal")</f>
        <v>1.1.1 Layout da Página Principal</v>
      </c>
      <c r="B2" s="8">
        <f>IFERROR(__xludf.DUMMYFUNCTION("VSTACK(FILTER('Base de Dados'!C2:C1100,'Base de Dados'!A2:A1100&lt;&gt;"""",'Base de Dados'!A2:A1100&lt;&gt;""4.2.1 Reuniões Semanais""),K2:K17)"),2.5)</f>
        <v>2.5</v>
      </c>
      <c r="C2" s="8" t="b">
        <f>IFERROR(__xludf.DUMMYFUNCTION("VSTACK(FILTER('Base de Dados'!F2:F1100,'Base de Dados'!A2:A1100&lt;&gt;"""",'Base de Dados'!A2:A1100&lt;&gt;""4.2.1 Reuniões Semanais""),ARRAYFORMULA(L2:L17&lt;&gt;""""))"),TRUE)</f>
        <v>1</v>
      </c>
      <c r="D2" s="9">
        <f>IFERROR(__xludf.DUMMYFUNCTION("VSTACK(FILTER(ARRAYFORMULA(IF('Base de Dados'!I2:I1100="""","""",'Base de Dados'!I2:I1100)),'Base de Dados'!A2:A1100&lt;&gt;"""",'Base de Dados'!A2:A1100&lt;&gt;""4.2.1 Reuniões Semanais""),ARRAYFORMULA(IF(L2:L17="""","""",L2:L17)))"),46278.0)</f>
        <v>46278</v>
      </c>
      <c r="E2" s="8">
        <f>IFERROR(__xludf.DUMMYFUNCTION("VSTACK(FILTER(ARRAYFORMULA(IF('Base de Dados'!H2:H1100="""","""",'Base de Dados'!H2:H1100)),'Base de Dados'!A2:A1100&lt;&gt;"""",'Base de Dados'!A2:A1100&lt;&gt;""4.2.1 Reuniões Semanais""),SEQUENCE(16))"),5.0)</f>
        <v>5</v>
      </c>
      <c r="F2" s="8">
        <f>IFERROR(__xludf.DUMMYFUNCTION("VSTACK(FILTER(ARRAYFORMULA(IF('Base de Dados'!G2:G1100="""","""",'Base de Dados'!G2:G1100)),'Base de Dados'!A2:A1100&lt;&gt;"""",'Base de Dados'!A2:A1100&lt;&gt;""4.2.1 Reuniões Semanais""),ARRAYFORMULA(IF(L2:L17="""","""",SEQUENCE(16))))"),5.0)</f>
        <v>5</v>
      </c>
      <c r="J2" s="51" t="s">
        <v>109</v>
      </c>
      <c r="K2" s="8">
        <f>SUMIF('Base de Dados'!A2:A1100,"4.2.1 Reuniões Semanais",'Base de Dados'!C2:C1100)/16</f>
        <v>17.5</v>
      </c>
      <c r="L2" s="7">
        <v>46249.0</v>
      </c>
      <c r="N2" s="51"/>
      <c r="O2" s="51"/>
      <c r="Q2" s="51">
        <v>1.0</v>
      </c>
      <c r="R2" s="7">
        <v>46244.0</v>
      </c>
      <c r="S2" s="51"/>
    </row>
    <row r="3">
      <c r="A3" s="8" t="str">
        <f>IFERROR(__xludf.DUMMYFUNCTION("""COMPUTED_VALUE"""),"1.1.2 Botões com Roteamento")</f>
        <v>1.1.2 Botões com Roteamento</v>
      </c>
      <c r="B3" s="8">
        <f>IFERROR(__xludf.DUMMYFUNCTION("""COMPUTED_VALUE"""),1.0)</f>
        <v>1</v>
      </c>
      <c r="C3" s="8" t="b">
        <f>IFERROR(__xludf.DUMMYFUNCTION("""COMPUTED_VALUE"""),TRUE)</f>
        <v>1</v>
      </c>
      <c r="D3" s="9">
        <f>IFERROR(__xludf.DUMMYFUNCTION("""COMPUTED_VALUE"""),46278.0)</f>
        <v>46278</v>
      </c>
      <c r="E3" s="8">
        <f>IFERROR(__xludf.DUMMYFUNCTION("""COMPUTED_VALUE"""),5.0)</f>
        <v>5</v>
      </c>
      <c r="F3" s="8">
        <f>IFERROR(__xludf.DUMMYFUNCTION("""COMPUTED_VALUE"""),5.0)</f>
        <v>5</v>
      </c>
      <c r="J3" s="51" t="s">
        <v>110</v>
      </c>
      <c r="K3" s="8">
        <f>SUMIF('Base de Dados'!A2:A1100,"4.2.1 Reuniões Semanais",'Base de Dados'!C2:C1100)/16</f>
        <v>17.5</v>
      </c>
      <c r="L3" s="7">
        <v>46256.0</v>
      </c>
      <c r="N3" s="51"/>
      <c r="O3" s="51"/>
      <c r="Q3" s="51">
        <v>2.0</v>
      </c>
      <c r="R3" s="7">
        <v>46251.0</v>
      </c>
      <c r="S3" s="51"/>
    </row>
    <row r="4">
      <c r="A4" s="8" t="str">
        <f>IFERROR(__xludf.DUMMYFUNCTION("""COMPUTED_VALUE"""),"1.1.3 Objeto (Peão) 3D")</f>
        <v>1.1.3 Objeto (Peão) 3D</v>
      </c>
      <c r="B4" s="8">
        <f>IFERROR(__xludf.DUMMYFUNCTION("""COMPUTED_VALUE"""),5.0)</f>
        <v>5</v>
      </c>
      <c r="C4" s="8" t="b">
        <f>IFERROR(__xludf.DUMMYFUNCTION("""COMPUTED_VALUE"""),TRUE)</f>
        <v>1</v>
      </c>
      <c r="D4" s="9">
        <f>IFERROR(__xludf.DUMMYFUNCTION("""COMPUTED_VALUE"""),46289.0)</f>
        <v>46289</v>
      </c>
      <c r="E4" s="8">
        <f>IFERROR(__xludf.DUMMYFUNCTION("""COMPUTED_VALUE"""),7.0)</f>
        <v>7</v>
      </c>
      <c r="F4" s="8">
        <f>IFERROR(__xludf.DUMMYFUNCTION("""COMPUTED_VALUE"""),7.0)</f>
        <v>7</v>
      </c>
      <c r="J4" s="51" t="s">
        <v>111</v>
      </c>
      <c r="K4" s="8">
        <f>SUMIF('Base de Dados'!A2:A1100,"4.2.1 Reuniões Semanais",'Base de Dados'!C2:C1100)/16</f>
        <v>17.5</v>
      </c>
      <c r="L4" s="7">
        <v>46263.0</v>
      </c>
      <c r="N4" s="51"/>
      <c r="O4" s="51"/>
      <c r="Q4" s="51">
        <v>3.0</v>
      </c>
      <c r="R4" s="7">
        <v>46258.0</v>
      </c>
      <c r="S4" s="51"/>
    </row>
    <row r="5">
      <c r="A5" s="8" t="str">
        <f>IFERROR(__xludf.DUMMYFUNCTION("""COMPUTED_VALUE"""),"1.2.1 Layout da Página da Partida")</f>
        <v>1.2.1 Layout da Página da Partida</v>
      </c>
      <c r="B5" s="8">
        <f>IFERROR(__xludf.DUMMYFUNCTION("""COMPUTED_VALUE"""),3.0)</f>
        <v>3</v>
      </c>
      <c r="C5" s="8" t="b">
        <f>IFERROR(__xludf.DUMMYFUNCTION("""COMPUTED_VALUE"""),TRUE)</f>
        <v>1</v>
      </c>
      <c r="D5" s="9">
        <f>IFERROR(__xludf.DUMMYFUNCTION("""COMPUTED_VALUE"""),46278.0)</f>
        <v>46278</v>
      </c>
      <c r="E5" s="8">
        <f>IFERROR(__xludf.DUMMYFUNCTION("""COMPUTED_VALUE"""),5.0)</f>
        <v>5</v>
      </c>
      <c r="F5" s="8">
        <f>IFERROR(__xludf.DUMMYFUNCTION("""COMPUTED_VALUE"""),5.0)</f>
        <v>5</v>
      </c>
      <c r="J5" s="51" t="s">
        <v>112</v>
      </c>
      <c r="K5" s="8">
        <f>SUMIF('Base de Dados'!A2:A1100,"4.2.1 Reuniões Semanais",'Base de Dados'!C2:C1100)/16</f>
        <v>17.5</v>
      </c>
      <c r="L5" s="7">
        <v>46270.0</v>
      </c>
      <c r="N5" s="51"/>
      <c r="O5" s="51"/>
      <c r="Q5" s="51">
        <v>4.0</v>
      </c>
      <c r="R5" s="7">
        <v>46265.0</v>
      </c>
      <c r="S5" s="51"/>
    </row>
    <row r="6">
      <c r="A6" s="8" t="str">
        <f>IFERROR(__xludf.DUMMYFUNCTION("""COMPUTED_VALUE"""),"1.2.2.1 Componente do Tabuleiro com Jogadores")</f>
        <v>1.2.2.1 Componente do Tabuleiro com Jogadores</v>
      </c>
      <c r="B6" s="8">
        <f>IFERROR(__xludf.DUMMYFUNCTION("""COMPUTED_VALUE"""),5.0)</f>
        <v>5</v>
      </c>
      <c r="C6" s="8" t="b">
        <f>IFERROR(__xludf.DUMMYFUNCTION("""COMPUTED_VALUE"""),TRUE)</f>
        <v>1</v>
      </c>
      <c r="D6" s="9">
        <f>IFERROR(__xludf.DUMMYFUNCTION("""COMPUTED_VALUE"""),46290.0)</f>
        <v>46290</v>
      </c>
      <c r="E6" s="8">
        <f>IFERROR(__xludf.DUMMYFUNCTION("""COMPUTED_VALUE"""),7.0)</f>
        <v>7</v>
      </c>
      <c r="F6" s="8">
        <f>IFERROR(__xludf.DUMMYFUNCTION("""COMPUTED_VALUE"""),7.0)</f>
        <v>7</v>
      </c>
      <c r="J6" s="51" t="s">
        <v>113</v>
      </c>
      <c r="K6" s="8">
        <f>SUMIF('Base de Dados'!A2:A1100,"4.2.1 Reuniões Semanais",'Base de Dados'!C2:C1100)/16</f>
        <v>17.5</v>
      </c>
      <c r="L6" s="7">
        <v>46277.0</v>
      </c>
      <c r="N6" s="51"/>
      <c r="O6" s="51"/>
      <c r="Q6" s="51">
        <v>5.0</v>
      </c>
      <c r="R6" s="7">
        <v>46272.0</v>
      </c>
      <c r="S6" s="51"/>
    </row>
    <row r="7">
      <c r="A7" s="8" t="str">
        <f>IFERROR(__xludf.DUMMYFUNCTION("""COMPUTED_VALUE"""),"1.2.2.2 Componentes das Peças")</f>
        <v>1.2.2.2 Componentes das Peças</v>
      </c>
      <c r="B7" s="8">
        <f>IFERROR(__xludf.DUMMYFUNCTION("""COMPUTED_VALUE"""),3.0)</f>
        <v>3</v>
      </c>
      <c r="C7" s="8" t="b">
        <f>IFERROR(__xludf.DUMMYFUNCTION("""COMPUTED_VALUE"""),TRUE)</f>
        <v>1</v>
      </c>
      <c r="D7" s="9">
        <f>IFERROR(__xludf.DUMMYFUNCTION("""COMPUTED_VALUE"""),46282.0)</f>
        <v>46282</v>
      </c>
      <c r="E7" s="8">
        <f>IFERROR(__xludf.DUMMYFUNCTION("""COMPUTED_VALUE"""),7.0)</f>
        <v>7</v>
      </c>
      <c r="F7" s="8">
        <f>IFERROR(__xludf.DUMMYFUNCTION("""COMPUTED_VALUE"""),6.0)</f>
        <v>6</v>
      </c>
      <c r="J7" s="51" t="s">
        <v>114</v>
      </c>
      <c r="K7" s="8">
        <f>SUMIF('Base de Dados'!A2:A1100,"4.2.1 Reuniões Semanais",'Base de Dados'!C2:C1100)/16</f>
        <v>17.5</v>
      </c>
      <c r="L7" s="7">
        <v>46284.0</v>
      </c>
      <c r="N7" s="51"/>
      <c r="O7" s="51"/>
      <c r="Q7" s="51">
        <v>6.0</v>
      </c>
      <c r="R7" s="7">
        <v>46279.0</v>
      </c>
      <c r="S7" s="51"/>
    </row>
    <row r="8">
      <c r="A8" s="8" t="str">
        <f>IFERROR(__xludf.DUMMYFUNCTION("""COMPUTED_VALUE"""),"1.2.2.3 Componente do Relógio")</f>
        <v>1.2.2.3 Componente do Relógio</v>
      </c>
      <c r="B8" s="8">
        <f>IFERROR(__xludf.DUMMYFUNCTION("""COMPUTED_VALUE"""),2.0)</f>
        <v>2</v>
      </c>
      <c r="C8" s="8" t="b">
        <f>IFERROR(__xludf.DUMMYFUNCTION("""COMPUTED_VALUE"""),TRUE)</f>
        <v>1</v>
      </c>
      <c r="D8" s="9">
        <f>IFERROR(__xludf.DUMMYFUNCTION("""COMPUTED_VALUE"""),46296.0)</f>
        <v>46296</v>
      </c>
      <c r="E8" s="8">
        <f>IFERROR(__xludf.DUMMYFUNCTION("""COMPUTED_VALUE"""),7.0)</f>
        <v>7</v>
      </c>
      <c r="F8" s="8">
        <f>IFERROR(__xludf.DUMMYFUNCTION("""COMPUTED_VALUE"""),8.0)</f>
        <v>8</v>
      </c>
      <c r="J8" s="51" t="s">
        <v>115</v>
      </c>
      <c r="K8" s="8">
        <f>SUMIF('Base de Dados'!A2:A1100,"4.2.1 Reuniões Semanais",'Base de Dados'!C2:C1100)/16</f>
        <v>17.5</v>
      </c>
      <c r="L8" s="7">
        <v>46291.0</v>
      </c>
      <c r="N8" s="51"/>
      <c r="O8" s="51"/>
      <c r="Q8" s="51">
        <v>7.0</v>
      </c>
      <c r="R8" s="7">
        <v>46286.0</v>
      </c>
      <c r="S8" s="51"/>
    </row>
    <row r="9">
      <c r="A9" s="8" t="str">
        <f>IFERROR(__xludf.DUMMYFUNCTION("""COMPUTED_VALUE"""),"1.2.2.4 Componente do Histórico de Jogadas")</f>
        <v>1.2.2.4 Componente do Histórico de Jogadas</v>
      </c>
      <c r="B9" s="8">
        <f>IFERROR(__xludf.DUMMYFUNCTION("""COMPUTED_VALUE"""),3.0)</f>
        <v>3</v>
      </c>
      <c r="C9" s="8" t="b">
        <f>IFERROR(__xludf.DUMMYFUNCTION("""COMPUTED_VALUE"""),TRUE)</f>
        <v>1</v>
      </c>
      <c r="D9" s="9">
        <f>IFERROR(__xludf.DUMMYFUNCTION("""COMPUTED_VALUE"""),46298.0)</f>
        <v>46298</v>
      </c>
      <c r="E9" s="8">
        <f>IFERROR(__xludf.DUMMYFUNCTION("""COMPUTED_VALUE"""),8.0)</f>
        <v>8</v>
      </c>
      <c r="F9" s="8">
        <f>IFERROR(__xludf.DUMMYFUNCTION("""COMPUTED_VALUE"""),8.0)</f>
        <v>8</v>
      </c>
      <c r="J9" s="51" t="s">
        <v>116</v>
      </c>
      <c r="K9" s="8">
        <f>SUMIF('Base de Dados'!A2:A1100,"4.2.1 Reuniões Semanais",'Base de Dados'!C2:C1100)/16</f>
        <v>17.5</v>
      </c>
      <c r="L9" s="7">
        <v>46298.0</v>
      </c>
      <c r="N9" s="51"/>
      <c r="O9" s="51"/>
      <c r="Q9" s="51">
        <v>8.0</v>
      </c>
      <c r="R9" s="7">
        <v>46293.0</v>
      </c>
      <c r="S9" s="51"/>
    </row>
    <row r="10">
      <c r="A10" s="8" t="str">
        <f>IFERROR(__xludf.DUMMYFUNCTION("""COMPUTED_VALUE"""),"1.2.2.5 Componente ""Pop-Up"" de Vitória/Derrota/Empate")</f>
        <v>1.2.2.5 Componente "Pop-Up" de Vitória/Derrota/Empate</v>
      </c>
      <c r="B10" s="8">
        <f>IFERROR(__xludf.DUMMYFUNCTION("""COMPUTED_VALUE"""),1.0)</f>
        <v>1</v>
      </c>
      <c r="C10" s="8" t="b">
        <f>IFERROR(__xludf.DUMMYFUNCTION("""COMPUTED_VALUE"""),TRUE)</f>
        <v>1</v>
      </c>
      <c r="D10" s="9">
        <f>IFERROR(__xludf.DUMMYFUNCTION("""COMPUTED_VALUE"""),46296.0)</f>
        <v>46296</v>
      </c>
      <c r="E10" s="8">
        <f>IFERROR(__xludf.DUMMYFUNCTION("""COMPUTED_VALUE"""),9.0)</f>
        <v>9</v>
      </c>
      <c r="F10" s="8">
        <f>IFERROR(__xludf.DUMMYFUNCTION("""COMPUTED_VALUE"""),8.0)</f>
        <v>8</v>
      </c>
      <c r="J10" s="51" t="s">
        <v>117</v>
      </c>
      <c r="K10" s="8">
        <f>SUMIF('Base de Dados'!A2:A1100,"4.2.1 Reuniões Semanais",'Base de Dados'!C2:C1100)/16</f>
        <v>17.5</v>
      </c>
      <c r="L10" s="7" t="s">
        <v>118</v>
      </c>
      <c r="N10" s="51"/>
      <c r="O10" s="51"/>
      <c r="Q10" s="51">
        <v>9.0</v>
      </c>
      <c r="R10" s="9">
        <f t="shared" ref="R10:R17" si="1">R9+7</f>
        <v>46300</v>
      </c>
      <c r="S10" s="51"/>
    </row>
    <row r="11">
      <c r="A11" s="8" t="str">
        <f>IFERROR(__xludf.DUMMYFUNCTION("""COMPUTED_VALUE"""),"1.2.3.1 Mecanismo de Pausa")</f>
        <v>1.2.3.1 Mecanismo de Pausa</v>
      </c>
      <c r="B11" s="8">
        <f>IFERROR(__xludf.DUMMYFUNCTION("""COMPUTED_VALUE"""),2.0)</f>
        <v>2</v>
      </c>
      <c r="C11" s="8" t="b">
        <f>IFERROR(__xludf.DUMMYFUNCTION("""COMPUTED_VALUE"""),TRUE)</f>
        <v>1</v>
      </c>
      <c r="D11" s="9">
        <f>IFERROR(__xludf.DUMMYFUNCTION("""COMPUTED_VALUE"""),46296.0)</f>
        <v>46296</v>
      </c>
      <c r="E11" s="8">
        <f>IFERROR(__xludf.DUMMYFUNCTION("""COMPUTED_VALUE"""),9.0)</f>
        <v>9</v>
      </c>
      <c r="F11" s="8">
        <f>IFERROR(__xludf.DUMMYFUNCTION("""COMPUTED_VALUE"""),8.0)</f>
        <v>8</v>
      </c>
      <c r="J11" s="51" t="s">
        <v>119</v>
      </c>
      <c r="K11" s="8">
        <f>SUMIF('Base de Dados'!A2:A1100,"4.2.1 Reuniões Semanais",'Base de Dados'!C2:C1100)/16</f>
        <v>17.5</v>
      </c>
      <c r="L11" s="7" t="s">
        <v>118</v>
      </c>
      <c r="N11" s="51"/>
      <c r="O11" s="51"/>
      <c r="Q11" s="51">
        <v>10.0</v>
      </c>
      <c r="R11" s="9">
        <f t="shared" si="1"/>
        <v>46307</v>
      </c>
      <c r="S11" s="51"/>
    </row>
    <row r="12">
      <c r="A12" s="8" t="str">
        <f>IFERROR(__xludf.DUMMYFUNCTION("""COMPUTED_VALUE"""),"1.2.3.2 Mecanismo de Desistência")</f>
        <v>1.2.3.2 Mecanismo de Desistência</v>
      </c>
      <c r="B12" s="8">
        <f>IFERROR(__xludf.DUMMYFUNCTION("""COMPUTED_VALUE"""),1.5)</f>
        <v>1.5</v>
      </c>
      <c r="C12" s="8" t="b">
        <f>IFERROR(__xludf.DUMMYFUNCTION("""COMPUTED_VALUE"""),TRUE)</f>
        <v>1</v>
      </c>
      <c r="D12" s="9">
        <f>IFERROR(__xludf.DUMMYFUNCTION("""COMPUTED_VALUE"""),46296.0)</f>
        <v>46296</v>
      </c>
      <c r="E12" s="8">
        <f>IFERROR(__xludf.DUMMYFUNCTION("""COMPUTED_VALUE"""),9.0)</f>
        <v>9</v>
      </c>
      <c r="F12" s="8">
        <f>IFERROR(__xludf.DUMMYFUNCTION("""COMPUTED_VALUE"""),8.0)</f>
        <v>8</v>
      </c>
      <c r="J12" s="51" t="s">
        <v>120</v>
      </c>
      <c r="K12" s="8">
        <f>SUMIF('Base de Dados'!A2:A1100,"4.2.1 Reuniões Semanais",'Base de Dados'!C2:C1100)/16</f>
        <v>17.5</v>
      </c>
      <c r="L12" s="7" t="s">
        <v>118</v>
      </c>
      <c r="N12" s="51"/>
      <c r="O12" s="51"/>
      <c r="Q12" s="51">
        <v>11.0</v>
      </c>
      <c r="R12" s="9">
        <f t="shared" si="1"/>
        <v>46314</v>
      </c>
      <c r="S12" s="51"/>
    </row>
    <row r="13">
      <c r="A13" s="8" t="str">
        <f>IFERROR(__xludf.DUMMYFUNCTION("""COMPUTED_VALUE"""),"1.3.1 Layout da Página de Opções")</f>
        <v>1.3.1 Layout da Página de Opções</v>
      </c>
      <c r="B13" s="8">
        <f>IFERROR(__xludf.DUMMYFUNCTION("""COMPUTED_VALUE"""),2.0)</f>
        <v>2</v>
      </c>
      <c r="C13" s="8" t="b">
        <f>IFERROR(__xludf.DUMMYFUNCTION("""COMPUTED_VALUE"""),FALSE)</f>
        <v>0</v>
      </c>
      <c r="D13" s="9" t="str">
        <f>IFERROR(__xludf.DUMMYFUNCTION("""COMPUTED_VALUE"""),"")</f>
        <v/>
      </c>
      <c r="E13" s="8">
        <f>IFERROR(__xludf.DUMMYFUNCTION("""COMPUTED_VALUE"""),8.0)</f>
        <v>8</v>
      </c>
      <c r="F13" s="8" t="str">
        <f>IFERROR(__xludf.DUMMYFUNCTION("""COMPUTED_VALUE"""),"")</f>
        <v/>
      </c>
      <c r="J13" s="51" t="s">
        <v>121</v>
      </c>
      <c r="K13" s="8">
        <f>SUMIF('Base de Dados'!A2:A1100,"4.2.1 Reuniões Semanais",'Base de Dados'!C2:C1100)/16</f>
        <v>17.5</v>
      </c>
      <c r="L13" s="7" t="s">
        <v>118</v>
      </c>
      <c r="N13" s="51"/>
      <c r="O13" s="51"/>
      <c r="Q13" s="51">
        <v>12.0</v>
      </c>
      <c r="R13" s="9">
        <f t="shared" si="1"/>
        <v>46321</v>
      </c>
      <c r="S13" s="51"/>
    </row>
    <row r="14">
      <c r="A14" s="8" t="str">
        <f>IFERROR(__xludf.DUMMYFUNCTION("""COMPUTED_VALUE"""),"1.3.2 Componente com Controle de Volume")</f>
        <v>1.3.2 Componente com Controle de Volume</v>
      </c>
      <c r="B14" s="8">
        <f>IFERROR(__xludf.DUMMYFUNCTION("""COMPUTED_VALUE"""),1.0)</f>
        <v>1</v>
      </c>
      <c r="C14" s="8" t="b">
        <f>IFERROR(__xludf.DUMMYFUNCTION("""COMPUTED_VALUE"""),FALSE)</f>
        <v>0</v>
      </c>
      <c r="D14" s="9" t="str">
        <f>IFERROR(__xludf.DUMMYFUNCTION("""COMPUTED_VALUE"""),"")</f>
        <v/>
      </c>
      <c r="E14" s="8">
        <f>IFERROR(__xludf.DUMMYFUNCTION("""COMPUTED_VALUE"""),8.0)</f>
        <v>8</v>
      </c>
      <c r="F14" s="8" t="str">
        <f>IFERROR(__xludf.DUMMYFUNCTION("""COMPUTED_VALUE"""),"")</f>
        <v/>
      </c>
      <c r="J14" s="51" t="s">
        <v>122</v>
      </c>
      <c r="K14" s="8">
        <f>SUMIF('Base de Dados'!A2:A1100,"4.2.1 Reuniões Semanais",'Base de Dados'!C2:C1100)/16</f>
        <v>17.5</v>
      </c>
      <c r="L14" s="7" t="s">
        <v>118</v>
      </c>
      <c r="N14" s="51"/>
      <c r="O14" s="51"/>
      <c r="Q14" s="51">
        <v>13.0</v>
      </c>
      <c r="R14" s="9">
        <f t="shared" si="1"/>
        <v>46328</v>
      </c>
      <c r="S14" s="51"/>
    </row>
    <row r="15">
      <c r="A15" s="8" t="str">
        <f>IFERROR(__xludf.DUMMYFUNCTION("""COMPUTED_VALUE"""),"1.3.3 Seletor de Tema")</f>
        <v>1.3.3 Seletor de Tema</v>
      </c>
      <c r="B15" s="8">
        <f>IFERROR(__xludf.DUMMYFUNCTION("""COMPUTED_VALUE"""),1.0)</f>
        <v>1</v>
      </c>
      <c r="C15" s="8" t="b">
        <f>IFERROR(__xludf.DUMMYFUNCTION("""COMPUTED_VALUE"""),TRUE)</f>
        <v>1</v>
      </c>
      <c r="D15" s="9">
        <f>IFERROR(__xludf.DUMMYFUNCTION("""COMPUTED_VALUE"""),46278.0)</f>
        <v>46278</v>
      </c>
      <c r="E15" s="8">
        <f>IFERROR(__xludf.DUMMYFUNCTION("""COMPUTED_VALUE"""),5.0)</f>
        <v>5</v>
      </c>
      <c r="F15" s="8">
        <f>IFERROR(__xludf.DUMMYFUNCTION("""COMPUTED_VALUE"""),5.0)</f>
        <v>5</v>
      </c>
      <c r="J15" s="51" t="s">
        <v>123</v>
      </c>
      <c r="K15" s="8">
        <f>SUMIF('Base de Dados'!A2:A1100,"4.2.1 Reuniões Semanais",'Base de Dados'!C2:C1100)/16</f>
        <v>17.5</v>
      </c>
      <c r="L15" s="7" t="s">
        <v>118</v>
      </c>
      <c r="N15" s="51"/>
      <c r="O15" s="51"/>
      <c r="Q15" s="51">
        <v>14.0</v>
      </c>
      <c r="R15" s="9">
        <f t="shared" si="1"/>
        <v>46335</v>
      </c>
      <c r="S15" s="51"/>
    </row>
    <row r="16">
      <c r="A16" s="8" t="str">
        <f>IFERROR(__xludf.DUMMYFUNCTION("""COMPUTED_VALUE"""),"1.3.4 Seletor de Oponente (Dificuldade)")</f>
        <v>1.3.4 Seletor de Oponente (Dificuldade)</v>
      </c>
      <c r="B16" s="8">
        <f>IFERROR(__xludf.DUMMYFUNCTION("""COMPUTED_VALUE"""),1.0)</f>
        <v>1</v>
      </c>
      <c r="C16" s="8" t="b">
        <f>IFERROR(__xludf.DUMMYFUNCTION("""COMPUTED_VALUE"""),TRUE)</f>
        <v>1</v>
      </c>
      <c r="D16" s="9">
        <f>IFERROR(__xludf.DUMMYFUNCTION("""COMPUTED_VALUE"""),46298.0)</f>
        <v>46298</v>
      </c>
      <c r="E16" s="8">
        <f>IFERROR(__xludf.DUMMYFUNCTION("""COMPUTED_VALUE"""),9.0)</f>
        <v>9</v>
      </c>
      <c r="F16" s="8">
        <f>IFERROR(__xludf.DUMMYFUNCTION("""COMPUTED_VALUE"""),8.0)</f>
        <v>8</v>
      </c>
      <c r="J16" s="51" t="s">
        <v>124</v>
      </c>
      <c r="K16" s="8">
        <f>SUMIF('Base de Dados'!A2:A1100,"4.2.1 Reuniões Semanais",'Base de Dados'!C2:C1100)/16</f>
        <v>17.5</v>
      </c>
      <c r="L16" s="7" t="s">
        <v>118</v>
      </c>
      <c r="N16" s="51"/>
      <c r="O16" s="51"/>
      <c r="Q16" s="51">
        <v>15.0</v>
      </c>
      <c r="R16" s="9">
        <f t="shared" si="1"/>
        <v>46342</v>
      </c>
      <c r="S16" s="51"/>
    </row>
    <row r="17">
      <c r="A17" s="8" t="str">
        <f>IFERROR(__xludf.DUMMYFUNCTION("""COMPUTED_VALUE"""),"1.4.1 Layout da Página de Créditos")</f>
        <v>1.4.1 Layout da Página de Créditos</v>
      </c>
      <c r="B17" s="8">
        <f>IFERROR(__xludf.DUMMYFUNCTION("""COMPUTED_VALUE"""),1.0)</f>
        <v>1</v>
      </c>
      <c r="C17" s="8" t="b">
        <f>IFERROR(__xludf.DUMMYFUNCTION("""COMPUTED_VALUE"""),TRUE)</f>
        <v>1</v>
      </c>
      <c r="D17" s="9">
        <f>IFERROR(__xludf.DUMMYFUNCTION("""COMPUTED_VALUE"""),46278.0)</f>
        <v>46278</v>
      </c>
      <c r="E17" s="8">
        <f>IFERROR(__xludf.DUMMYFUNCTION("""COMPUTED_VALUE"""),5.0)</f>
        <v>5</v>
      </c>
      <c r="F17" s="8">
        <f>IFERROR(__xludf.DUMMYFUNCTION("""COMPUTED_VALUE"""),5.0)</f>
        <v>5</v>
      </c>
      <c r="J17" s="51" t="s">
        <v>125</v>
      </c>
      <c r="K17" s="8">
        <f>SUMIF('Base de Dados'!A2:A1100,"4.2.1 Reuniões Semanais",'Base de Dados'!C2:C1100)/16</f>
        <v>17.5</v>
      </c>
      <c r="L17" s="7" t="s">
        <v>118</v>
      </c>
      <c r="N17" s="51"/>
      <c r="O17" s="51"/>
      <c r="Q17" s="51">
        <v>16.0</v>
      </c>
      <c r="R17" s="9">
        <f t="shared" si="1"/>
        <v>46349</v>
      </c>
      <c r="S17" s="51"/>
    </row>
    <row r="18">
      <c r="A18" s="8" t="str">
        <f>IFERROR(__xludf.DUMMYFUNCTION("""COMPUTED_VALUE"""),"1.4.2 Exibição das Tecnologias/Técnicas do Projeto")</f>
        <v>1.4.2 Exibição das Tecnologias/Técnicas do Projeto</v>
      </c>
      <c r="B18" s="8">
        <f>IFERROR(__xludf.DUMMYFUNCTION("""COMPUTED_VALUE"""),1.0)</f>
        <v>1</v>
      </c>
      <c r="C18" s="8" t="b">
        <f>IFERROR(__xludf.DUMMYFUNCTION("""COMPUTED_VALUE"""),TRUE)</f>
        <v>1</v>
      </c>
      <c r="D18" s="9">
        <f>IFERROR(__xludf.DUMMYFUNCTION("""COMPUTED_VALUE"""),46278.0)</f>
        <v>46278</v>
      </c>
      <c r="E18" s="8">
        <f>IFERROR(__xludf.DUMMYFUNCTION("""COMPUTED_VALUE"""),5.0)</f>
        <v>5</v>
      </c>
      <c r="F18" s="8">
        <f>IFERROR(__xludf.DUMMYFUNCTION("""COMPUTED_VALUE"""),5.0)</f>
        <v>5</v>
      </c>
      <c r="N18" s="51"/>
      <c r="O18" s="51"/>
    </row>
    <row r="19">
      <c r="A19" s="8" t="str">
        <f>IFERROR(__xludf.DUMMYFUNCTION("""COMPUTED_VALUE"""),"1.4.3 Exibição da Equipe")</f>
        <v>1.4.3 Exibição da Equipe</v>
      </c>
      <c r="B19" s="8">
        <f>IFERROR(__xludf.DUMMYFUNCTION("""COMPUTED_VALUE"""),1.0)</f>
        <v>1</v>
      </c>
      <c r="C19" s="8" t="b">
        <f>IFERROR(__xludf.DUMMYFUNCTION("""COMPUTED_VALUE"""),TRUE)</f>
        <v>1</v>
      </c>
      <c r="D19" s="9">
        <f>IFERROR(__xludf.DUMMYFUNCTION("""COMPUTED_VALUE"""),46278.0)</f>
        <v>46278</v>
      </c>
      <c r="E19" s="8">
        <f>IFERROR(__xludf.DUMMYFUNCTION("""COMPUTED_VALUE"""),5.0)</f>
        <v>5</v>
      </c>
      <c r="F19" s="8">
        <f>IFERROR(__xludf.DUMMYFUNCTION("""COMPUTED_VALUE"""),5.0)</f>
        <v>5</v>
      </c>
      <c r="N19" s="51"/>
      <c r="O19" s="51"/>
    </row>
    <row r="20">
      <c r="A20" s="8" t="str">
        <f>IFERROR(__xludf.DUMMYFUNCTION("""COMPUTED_VALUE"""),"1.5.1 Layout da Página de Perfil")</f>
        <v>1.5.1 Layout da Página de Perfil</v>
      </c>
      <c r="B20" s="8">
        <f>IFERROR(__xludf.DUMMYFUNCTION("""COMPUTED_VALUE"""),1.5)</f>
        <v>1.5</v>
      </c>
      <c r="C20" s="8" t="b">
        <f>IFERROR(__xludf.DUMMYFUNCTION("""COMPUTED_VALUE"""),TRUE)</f>
        <v>1</v>
      </c>
      <c r="D20" s="9">
        <f>IFERROR(__xludf.DUMMYFUNCTION("""COMPUTED_VALUE"""),46296.0)</f>
        <v>46296</v>
      </c>
      <c r="E20" s="8">
        <f>IFERROR(__xludf.DUMMYFUNCTION("""COMPUTED_VALUE"""),9.0)</f>
        <v>9</v>
      </c>
      <c r="F20" s="8">
        <f>IFERROR(__xludf.DUMMYFUNCTION("""COMPUTED_VALUE"""),8.0)</f>
        <v>8</v>
      </c>
      <c r="N20" s="51"/>
      <c r="O20" s="51"/>
    </row>
    <row r="21">
      <c r="A21" s="8" t="str">
        <f>IFERROR(__xludf.DUMMYFUNCTION("""COMPUTED_VALUE"""),"1.5.2 Exibição do Histórico de Partidas")</f>
        <v>1.5.2 Exibição do Histórico de Partidas</v>
      </c>
      <c r="B21" s="8">
        <f>IFERROR(__xludf.DUMMYFUNCTION("""COMPUTED_VALUE"""),1.5)</f>
        <v>1.5</v>
      </c>
      <c r="C21" s="8" t="b">
        <f>IFERROR(__xludf.DUMMYFUNCTION("""COMPUTED_VALUE"""),TRUE)</f>
        <v>1</v>
      </c>
      <c r="D21" s="9">
        <f>IFERROR(__xludf.DUMMYFUNCTION("""COMPUTED_VALUE"""),46296.0)</f>
        <v>46296</v>
      </c>
      <c r="E21" s="8">
        <f>IFERROR(__xludf.DUMMYFUNCTION("""COMPUTED_VALUE"""),9.0)</f>
        <v>9</v>
      </c>
      <c r="F21" s="8">
        <f>IFERROR(__xludf.DUMMYFUNCTION("""COMPUTED_VALUE"""),8.0)</f>
        <v>8</v>
      </c>
      <c r="N21" s="51"/>
      <c r="O21" s="51"/>
    </row>
    <row r="22">
      <c r="A22" s="8" t="str">
        <f>IFERROR(__xludf.DUMMYFUNCTION("""COMPUTED_VALUE"""),"1.6.1 Layout da Página de Cadastro")</f>
        <v>1.6.1 Layout da Página de Cadastro</v>
      </c>
      <c r="B22" s="8">
        <f>IFERROR(__xludf.DUMMYFUNCTION("""COMPUTED_VALUE"""),1.0)</f>
        <v>1</v>
      </c>
      <c r="C22" s="8" t="b">
        <f>IFERROR(__xludf.DUMMYFUNCTION("""COMPUTED_VALUE"""),TRUE)</f>
        <v>1</v>
      </c>
      <c r="D22" s="9">
        <f>IFERROR(__xludf.DUMMYFUNCTION("""COMPUTED_VALUE"""),46296.0)</f>
        <v>46296</v>
      </c>
      <c r="E22" s="8">
        <f>IFERROR(__xludf.DUMMYFUNCTION("""COMPUTED_VALUE"""),7.0)</f>
        <v>7</v>
      </c>
      <c r="F22" s="8">
        <f>IFERROR(__xludf.DUMMYFUNCTION("""COMPUTED_VALUE"""),8.0)</f>
        <v>8</v>
      </c>
      <c r="N22" s="51"/>
      <c r="O22" s="51"/>
    </row>
    <row r="23">
      <c r="A23" s="8" t="str">
        <f>IFERROR(__xludf.DUMMYFUNCTION("""COMPUTED_VALUE"""),"1.6.2 Formulário de Cadastro")</f>
        <v>1.6.2 Formulário de Cadastro</v>
      </c>
      <c r="B23" s="8">
        <f>IFERROR(__xludf.DUMMYFUNCTION("""COMPUTED_VALUE"""),1.0)</f>
        <v>1</v>
      </c>
      <c r="C23" s="8" t="b">
        <f>IFERROR(__xludf.DUMMYFUNCTION("""COMPUTED_VALUE"""),TRUE)</f>
        <v>1</v>
      </c>
      <c r="D23" s="9">
        <f>IFERROR(__xludf.DUMMYFUNCTION("""COMPUTED_VALUE"""),46296.0)</f>
        <v>46296</v>
      </c>
      <c r="E23" s="8">
        <f>IFERROR(__xludf.DUMMYFUNCTION("""COMPUTED_VALUE"""),7.0)</f>
        <v>7</v>
      </c>
      <c r="F23" s="8">
        <f>IFERROR(__xludf.DUMMYFUNCTION("""COMPUTED_VALUE"""),8.0)</f>
        <v>8</v>
      </c>
      <c r="N23" s="51"/>
      <c r="O23" s="51"/>
    </row>
    <row r="24">
      <c r="A24" s="8" t="str">
        <f>IFERROR(__xludf.DUMMYFUNCTION("""COMPUTED_VALUE"""),"1.6.3 Lógica de Cadastro")</f>
        <v>1.6.3 Lógica de Cadastro</v>
      </c>
      <c r="B24" s="8">
        <f>IFERROR(__xludf.DUMMYFUNCTION("""COMPUTED_VALUE"""),3.0)</f>
        <v>3</v>
      </c>
      <c r="C24" s="8" t="b">
        <f>IFERROR(__xludf.DUMMYFUNCTION("""COMPUTED_VALUE"""),TRUE)</f>
        <v>1</v>
      </c>
      <c r="D24" s="9">
        <f>IFERROR(__xludf.DUMMYFUNCTION("""COMPUTED_VALUE"""),46296.0)</f>
        <v>46296</v>
      </c>
      <c r="E24" s="8">
        <f>IFERROR(__xludf.DUMMYFUNCTION("""COMPUTED_VALUE"""),7.0)</f>
        <v>7</v>
      </c>
      <c r="F24" s="8">
        <f>IFERROR(__xludf.DUMMYFUNCTION("""COMPUTED_VALUE"""),8.0)</f>
        <v>8</v>
      </c>
      <c r="N24" s="51"/>
      <c r="O24" s="51"/>
    </row>
    <row r="25">
      <c r="A25" s="8" t="str">
        <f>IFERROR(__xludf.DUMMYFUNCTION("""COMPUTED_VALUE"""),"1.7.1 Layout da Página de Login")</f>
        <v>1.7.1 Layout da Página de Login</v>
      </c>
      <c r="B25" s="8">
        <f>IFERROR(__xludf.DUMMYFUNCTION("""COMPUTED_VALUE"""),1.0)</f>
        <v>1</v>
      </c>
      <c r="C25" s="8" t="b">
        <f>IFERROR(__xludf.DUMMYFUNCTION("""COMPUTED_VALUE"""),TRUE)</f>
        <v>1</v>
      </c>
      <c r="D25" s="9">
        <f>IFERROR(__xludf.DUMMYFUNCTION("""COMPUTED_VALUE"""),46296.0)</f>
        <v>46296</v>
      </c>
      <c r="E25" s="8">
        <f>IFERROR(__xludf.DUMMYFUNCTION("""COMPUTED_VALUE"""),7.0)</f>
        <v>7</v>
      </c>
      <c r="F25" s="8">
        <f>IFERROR(__xludf.DUMMYFUNCTION("""COMPUTED_VALUE"""),8.0)</f>
        <v>8</v>
      </c>
      <c r="N25" s="51"/>
      <c r="O25" s="51"/>
    </row>
    <row r="26">
      <c r="A26" s="8" t="str">
        <f>IFERROR(__xludf.DUMMYFUNCTION("""COMPUTED_VALUE"""),"1.7.2 Formulário de Login")</f>
        <v>1.7.2 Formulário de Login</v>
      </c>
      <c r="B26" s="8">
        <f>IFERROR(__xludf.DUMMYFUNCTION("""COMPUTED_VALUE"""),1.0)</f>
        <v>1</v>
      </c>
      <c r="C26" s="8" t="b">
        <f>IFERROR(__xludf.DUMMYFUNCTION("""COMPUTED_VALUE"""),TRUE)</f>
        <v>1</v>
      </c>
      <c r="D26" s="9">
        <f>IFERROR(__xludf.DUMMYFUNCTION("""COMPUTED_VALUE"""),46296.0)</f>
        <v>46296</v>
      </c>
      <c r="E26" s="8">
        <f>IFERROR(__xludf.DUMMYFUNCTION("""COMPUTED_VALUE"""),7.0)</f>
        <v>7</v>
      </c>
      <c r="F26" s="8">
        <f>IFERROR(__xludf.DUMMYFUNCTION("""COMPUTED_VALUE"""),8.0)</f>
        <v>8</v>
      </c>
      <c r="N26" s="51"/>
      <c r="O26" s="51"/>
    </row>
    <row r="27">
      <c r="A27" s="8" t="str">
        <f>IFERROR(__xludf.DUMMYFUNCTION("""COMPUTED_VALUE"""),"1.7.3 Lógica de Login")</f>
        <v>1.7.3 Lógica de Login</v>
      </c>
      <c r="B27" s="8">
        <f>IFERROR(__xludf.DUMMYFUNCTION("""COMPUTED_VALUE"""),2.0)</f>
        <v>2</v>
      </c>
      <c r="C27" s="8" t="b">
        <f>IFERROR(__xludf.DUMMYFUNCTION("""COMPUTED_VALUE"""),TRUE)</f>
        <v>1</v>
      </c>
      <c r="D27" s="9">
        <f>IFERROR(__xludf.DUMMYFUNCTION("""COMPUTED_VALUE"""),46296.0)</f>
        <v>46296</v>
      </c>
      <c r="E27" s="8">
        <f>IFERROR(__xludf.DUMMYFUNCTION("""COMPUTED_VALUE"""),8.0)</f>
        <v>8</v>
      </c>
      <c r="F27" s="8">
        <f>IFERROR(__xludf.DUMMYFUNCTION("""COMPUTED_VALUE"""),8.0)</f>
        <v>8</v>
      </c>
      <c r="N27" s="51"/>
      <c r="O27" s="51"/>
    </row>
    <row r="28">
      <c r="A28" s="8" t="str">
        <f>IFERROR(__xludf.DUMMYFUNCTION("""COMPUTED_VALUE"""),"2.1.1.1 Regras do Peão")</f>
        <v>2.1.1.1 Regras do Peão</v>
      </c>
      <c r="B28" s="8">
        <f>IFERROR(__xludf.DUMMYFUNCTION("""COMPUTED_VALUE"""),1.0)</f>
        <v>1</v>
      </c>
      <c r="C28" s="8" t="b">
        <f>IFERROR(__xludf.DUMMYFUNCTION("""COMPUTED_VALUE"""),TRUE)</f>
        <v>1</v>
      </c>
      <c r="D28" s="9">
        <f>IFERROR(__xludf.DUMMYFUNCTION("""COMPUTED_VALUE"""),46296.0)</f>
        <v>46296</v>
      </c>
      <c r="E28" s="8">
        <f>IFERROR(__xludf.DUMMYFUNCTION("""COMPUTED_VALUE"""),7.0)</f>
        <v>7</v>
      </c>
      <c r="F28" s="8">
        <f>IFERROR(__xludf.DUMMYFUNCTION("""COMPUTED_VALUE"""),8.0)</f>
        <v>8</v>
      </c>
      <c r="N28" s="51"/>
      <c r="O28" s="51"/>
    </row>
    <row r="29">
      <c r="A29" s="8" t="str">
        <f>IFERROR(__xludf.DUMMYFUNCTION("""COMPUTED_VALUE"""),"2.1.1.2 Regras da Torre")</f>
        <v>2.1.1.2 Regras da Torre</v>
      </c>
      <c r="B29" s="8">
        <f>IFERROR(__xludf.DUMMYFUNCTION("""COMPUTED_VALUE"""),1.0)</f>
        <v>1</v>
      </c>
      <c r="C29" s="8" t="b">
        <f>IFERROR(__xludf.DUMMYFUNCTION("""COMPUTED_VALUE"""),TRUE)</f>
        <v>1</v>
      </c>
      <c r="D29" s="9">
        <f>IFERROR(__xludf.DUMMYFUNCTION("""COMPUTED_VALUE"""),46296.0)</f>
        <v>46296</v>
      </c>
      <c r="E29" s="8">
        <f>IFERROR(__xludf.DUMMYFUNCTION("""COMPUTED_VALUE"""),7.0)</f>
        <v>7</v>
      </c>
      <c r="F29" s="8">
        <f>IFERROR(__xludf.DUMMYFUNCTION("""COMPUTED_VALUE"""),8.0)</f>
        <v>8</v>
      </c>
      <c r="N29" s="51"/>
      <c r="O29" s="51"/>
    </row>
    <row r="30">
      <c r="A30" s="8" t="str">
        <f>IFERROR(__xludf.DUMMYFUNCTION("""COMPUTED_VALUE"""),"2.1.1.3 Regras do Cavalo")</f>
        <v>2.1.1.3 Regras do Cavalo</v>
      </c>
      <c r="B30" s="8">
        <f>IFERROR(__xludf.DUMMYFUNCTION("""COMPUTED_VALUE"""),1.0)</f>
        <v>1</v>
      </c>
      <c r="C30" s="8" t="b">
        <f>IFERROR(__xludf.DUMMYFUNCTION("""COMPUTED_VALUE"""),TRUE)</f>
        <v>1</v>
      </c>
      <c r="D30" s="9">
        <f>IFERROR(__xludf.DUMMYFUNCTION("""COMPUTED_VALUE"""),46296.0)</f>
        <v>46296</v>
      </c>
      <c r="E30" s="8">
        <f>IFERROR(__xludf.DUMMYFUNCTION("""COMPUTED_VALUE"""),7.0)</f>
        <v>7</v>
      </c>
      <c r="F30" s="8">
        <f>IFERROR(__xludf.DUMMYFUNCTION("""COMPUTED_VALUE"""),8.0)</f>
        <v>8</v>
      </c>
      <c r="N30" s="51"/>
      <c r="O30" s="51"/>
    </row>
    <row r="31">
      <c r="A31" s="8" t="str">
        <f>IFERROR(__xludf.DUMMYFUNCTION("""COMPUTED_VALUE"""),"2.1.1.4 Regras do Bispo")</f>
        <v>2.1.1.4 Regras do Bispo</v>
      </c>
      <c r="B31" s="8">
        <f>IFERROR(__xludf.DUMMYFUNCTION("""COMPUTED_VALUE"""),1.0)</f>
        <v>1</v>
      </c>
      <c r="C31" s="8" t="b">
        <f>IFERROR(__xludf.DUMMYFUNCTION("""COMPUTED_VALUE"""),TRUE)</f>
        <v>1</v>
      </c>
      <c r="D31" s="9">
        <f>IFERROR(__xludf.DUMMYFUNCTION("""COMPUTED_VALUE"""),46296.0)</f>
        <v>46296</v>
      </c>
      <c r="E31" s="8">
        <f>IFERROR(__xludf.DUMMYFUNCTION("""COMPUTED_VALUE"""),7.0)</f>
        <v>7</v>
      </c>
      <c r="F31" s="8">
        <f>IFERROR(__xludf.DUMMYFUNCTION("""COMPUTED_VALUE"""),8.0)</f>
        <v>8</v>
      </c>
      <c r="N31" s="51"/>
      <c r="O31" s="51"/>
    </row>
    <row r="32">
      <c r="A32" s="8" t="str">
        <f>IFERROR(__xludf.DUMMYFUNCTION("""COMPUTED_VALUE"""),"2.1.1.5 Regras do Rei")</f>
        <v>2.1.1.5 Regras do Rei</v>
      </c>
      <c r="B32" s="8">
        <f>IFERROR(__xludf.DUMMYFUNCTION("""COMPUTED_VALUE"""),2.0)</f>
        <v>2</v>
      </c>
      <c r="C32" s="8" t="b">
        <f>IFERROR(__xludf.DUMMYFUNCTION("""COMPUTED_VALUE"""),TRUE)</f>
        <v>1</v>
      </c>
      <c r="D32" s="9">
        <f>IFERROR(__xludf.DUMMYFUNCTION("""COMPUTED_VALUE"""),46296.0)</f>
        <v>46296</v>
      </c>
      <c r="E32" s="8">
        <f>IFERROR(__xludf.DUMMYFUNCTION("""COMPUTED_VALUE"""),7.0)</f>
        <v>7</v>
      </c>
      <c r="F32" s="8">
        <f>IFERROR(__xludf.DUMMYFUNCTION("""COMPUTED_VALUE"""),8.0)</f>
        <v>8</v>
      </c>
      <c r="N32" s="51"/>
      <c r="O32" s="51"/>
    </row>
    <row r="33">
      <c r="A33" s="8" t="str">
        <f>IFERROR(__xludf.DUMMYFUNCTION("""COMPUTED_VALUE"""),"2.1.1.6 Regras da Rainha")</f>
        <v>2.1.1.6 Regras da Rainha</v>
      </c>
      <c r="B33" s="8">
        <f>IFERROR(__xludf.DUMMYFUNCTION("""COMPUTED_VALUE"""),1.0)</f>
        <v>1</v>
      </c>
      <c r="C33" s="8" t="b">
        <f>IFERROR(__xludf.DUMMYFUNCTION("""COMPUTED_VALUE"""),TRUE)</f>
        <v>1</v>
      </c>
      <c r="D33" s="9">
        <f>IFERROR(__xludf.DUMMYFUNCTION("""COMPUTED_VALUE"""),46296.0)</f>
        <v>46296</v>
      </c>
      <c r="E33" s="8">
        <f>IFERROR(__xludf.DUMMYFUNCTION("""COMPUTED_VALUE"""),7.0)</f>
        <v>7</v>
      </c>
      <c r="F33" s="8">
        <f>IFERROR(__xludf.DUMMYFUNCTION("""COMPUTED_VALUE"""),8.0)</f>
        <v>8</v>
      </c>
      <c r="N33" s="51"/>
      <c r="O33" s="51"/>
    </row>
    <row r="34">
      <c r="A34" s="8" t="str">
        <f>IFERROR(__xludf.DUMMYFUNCTION("""COMPUTED_VALUE"""),"2.1.2.1 Lógica Roque")</f>
        <v>2.1.2.1 Lógica Roque</v>
      </c>
      <c r="B34" s="8">
        <f>IFERROR(__xludf.DUMMYFUNCTION("""COMPUTED_VALUE"""),2.0)</f>
        <v>2</v>
      </c>
      <c r="C34" s="8" t="b">
        <f>IFERROR(__xludf.DUMMYFUNCTION("""COMPUTED_VALUE"""),FALSE)</f>
        <v>0</v>
      </c>
      <c r="D34" s="9" t="str">
        <f>IFERROR(__xludf.DUMMYFUNCTION("""COMPUTED_VALUE"""),"")</f>
        <v/>
      </c>
      <c r="E34" s="8">
        <f>IFERROR(__xludf.DUMMYFUNCTION("""COMPUTED_VALUE"""),8.0)</f>
        <v>8</v>
      </c>
      <c r="F34" s="8" t="str">
        <f>IFERROR(__xludf.DUMMYFUNCTION("""COMPUTED_VALUE"""),"")</f>
        <v/>
      </c>
      <c r="N34" s="51"/>
      <c r="O34" s="51"/>
    </row>
    <row r="35">
      <c r="A35" s="8" t="str">
        <f>IFERROR(__xludf.DUMMYFUNCTION("""COMPUTED_VALUE"""),"2.1.2.2 Lógica En Passant")</f>
        <v>2.1.2.2 Lógica En Passant</v>
      </c>
      <c r="B35" s="8">
        <f>IFERROR(__xludf.DUMMYFUNCTION("""COMPUTED_VALUE"""),2.0)</f>
        <v>2</v>
      </c>
      <c r="C35" s="8" t="b">
        <f>IFERROR(__xludf.DUMMYFUNCTION("""COMPUTED_VALUE"""),FALSE)</f>
        <v>0</v>
      </c>
      <c r="D35" s="9" t="str">
        <f>IFERROR(__xludf.DUMMYFUNCTION("""COMPUTED_VALUE"""),"")</f>
        <v/>
      </c>
      <c r="E35" s="8">
        <f>IFERROR(__xludf.DUMMYFUNCTION("""COMPUTED_VALUE"""),8.0)</f>
        <v>8</v>
      </c>
      <c r="F35" s="8" t="str">
        <f>IFERROR(__xludf.DUMMYFUNCTION("""COMPUTED_VALUE"""),"")</f>
        <v/>
      </c>
      <c r="N35" s="51"/>
      <c r="O35" s="51"/>
    </row>
    <row r="36">
      <c r="A36" s="8" t="str">
        <f>IFERROR(__xludf.DUMMYFUNCTION("""COMPUTED_VALUE"""),"2.1.2.3 Lógica Promoção do Peão")</f>
        <v>2.1.2.3 Lógica Promoção do Peão</v>
      </c>
      <c r="B36" s="8">
        <f>IFERROR(__xludf.DUMMYFUNCTION("""COMPUTED_VALUE"""),2.0)</f>
        <v>2</v>
      </c>
      <c r="C36" s="8" t="b">
        <f>IFERROR(__xludf.DUMMYFUNCTION("""COMPUTED_VALUE"""),FALSE)</f>
        <v>0</v>
      </c>
      <c r="D36" s="9" t="str">
        <f>IFERROR(__xludf.DUMMYFUNCTION("""COMPUTED_VALUE"""),"")</f>
        <v/>
      </c>
      <c r="E36" s="8">
        <f>IFERROR(__xludf.DUMMYFUNCTION("""COMPUTED_VALUE"""),8.0)</f>
        <v>8</v>
      </c>
      <c r="F36" s="8" t="str">
        <f>IFERROR(__xludf.DUMMYFUNCTION("""COMPUTED_VALUE"""),"")</f>
        <v/>
      </c>
      <c r="N36" s="51"/>
      <c r="O36" s="51"/>
    </row>
    <row r="37">
      <c r="A37" s="8" t="str">
        <f>IFERROR(__xludf.DUMMYFUNCTION("""COMPUTED_VALUE"""),"2.1.3 Captura de peças")</f>
        <v>2.1.3 Captura de peças</v>
      </c>
      <c r="B37" s="8">
        <f>IFERROR(__xludf.DUMMYFUNCTION("""COMPUTED_VALUE"""),2.0)</f>
        <v>2</v>
      </c>
      <c r="C37" s="8" t="b">
        <f>IFERROR(__xludf.DUMMYFUNCTION("""COMPUTED_VALUE"""),TRUE)</f>
        <v>1</v>
      </c>
      <c r="D37" s="9">
        <f>IFERROR(__xludf.DUMMYFUNCTION("""COMPUTED_VALUE"""),46298.0)</f>
        <v>46298</v>
      </c>
      <c r="E37" s="8">
        <f>IFERROR(__xludf.DUMMYFUNCTION("""COMPUTED_VALUE"""),7.0)</f>
        <v>7</v>
      </c>
      <c r="F37" s="8">
        <f>IFERROR(__xludf.DUMMYFUNCTION("""COMPUTED_VALUE"""),8.0)</f>
        <v>8</v>
      </c>
      <c r="N37" s="51"/>
      <c r="O37" s="51"/>
    </row>
    <row r="38">
      <c r="A38" s="8" t="str">
        <f>IFERROR(__xludf.DUMMYFUNCTION("""COMPUTED_VALUE"""),"2.1.4 Cálculo de jogadas permitidas")</f>
        <v>2.1.4 Cálculo de jogadas permitidas</v>
      </c>
      <c r="B38" s="8">
        <f>IFERROR(__xludf.DUMMYFUNCTION("""COMPUTED_VALUE"""),5.0)</f>
        <v>5</v>
      </c>
      <c r="C38" s="8" t="b">
        <f>IFERROR(__xludf.DUMMYFUNCTION("""COMPUTED_VALUE"""),TRUE)</f>
        <v>1</v>
      </c>
      <c r="D38" s="9">
        <f>IFERROR(__xludf.DUMMYFUNCTION("""COMPUTED_VALUE"""),46298.0)</f>
        <v>46298</v>
      </c>
      <c r="E38" s="8">
        <f>IFERROR(__xludf.DUMMYFUNCTION("""COMPUTED_VALUE"""),8.0)</f>
        <v>8</v>
      </c>
      <c r="F38" s="8">
        <f>IFERROR(__xludf.DUMMYFUNCTION("""COMPUTED_VALUE"""),8.0)</f>
        <v>8</v>
      </c>
      <c r="N38" s="51"/>
      <c r="O38" s="51"/>
    </row>
    <row r="39">
      <c r="A39" s="8" t="str">
        <f>IFERROR(__xludf.DUMMYFUNCTION("""COMPUTED_VALUE"""),"2.2.1 Armazenamento de jogadas")</f>
        <v>2.2.1 Armazenamento de jogadas</v>
      </c>
      <c r="B39" s="8">
        <f>IFERROR(__xludf.DUMMYFUNCTION("""COMPUTED_VALUE"""),2.0)</f>
        <v>2</v>
      </c>
      <c r="C39" s="8" t="b">
        <f>IFERROR(__xludf.DUMMYFUNCTION("""COMPUTED_VALUE"""),FALSE)</f>
        <v>0</v>
      </c>
      <c r="D39" s="9" t="str">
        <f>IFERROR(__xludf.DUMMYFUNCTION("""COMPUTED_VALUE"""),"")</f>
        <v/>
      </c>
      <c r="E39" s="8">
        <f>IFERROR(__xludf.DUMMYFUNCTION("""COMPUTED_VALUE"""),9.0)</f>
        <v>9</v>
      </c>
      <c r="F39" s="8" t="str">
        <f>IFERROR(__xludf.DUMMYFUNCTION("""COMPUTED_VALUE"""),"")</f>
        <v/>
      </c>
      <c r="N39" s="51"/>
      <c r="O39" s="51"/>
    </row>
    <row r="40">
      <c r="A40" s="8" t="str">
        <f>IFERROR(__xludf.DUMMYFUNCTION("""COMPUTED_VALUE"""),"2.2.2 Criar tabuleiro e posições das peças")</f>
        <v>2.2.2 Criar tabuleiro e posições das peças</v>
      </c>
      <c r="B40" s="8">
        <f>IFERROR(__xludf.DUMMYFUNCTION("""COMPUTED_VALUE"""),3.0)</f>
        <v>3</v>
      </c>
      <c r="C40" s="8" t="b">
        <f>IFERROR(__xludf.DUMMYFUNCTION("""COMPUTED_VALUE"""),TRUE)</f>
        <v>1</v>
      </c>
      <c r="D40" s="9">
        <f>IFERROR(__xludf.DUMMYFUNCTION("""COMPUTED_VALUE"""),46296.0)</f>
        <v>46296</v>
      </c>
      <c r="E40" s="8">
        <f>IFERROR(__xludf.DUMMYFUNCTION("""COMPUTED_VALUE"""),9.0)</f>
        <v>9</v>
      </c>
      <c r="F40" s="8">
        <f>IFERROR(__xludf.DUMMYFUNCTION("""COMPUTED_VALUE"""),8.0)</f>
        <v>8</v>
      </c>
      <c r="N40" s="51"/>
      <c r="O40" s="51"/>
    </row>
    <row r="41">
      <c r="A41" s="8" t="str">
        <f>IFERROR(__xludf.DUMMYFUNCTION("""COMPUTED_VALUE"""),"2.2.3 Controle do Turno")</f>
        <v>2.2.3 Controle do Turno</v>
      </c>
      <c r="B41" s="8">
        <f>IFERROR(__xludf.DUMMYFUNCTION("""COMPUTED_VALUE"""),2.0)</f>
        <v>2</v>
      </c>
      <c r="C41" s="8" t="b">
        <f>IFERROR(__xludf.DUMMYFUNCTION("""COMPUTED_VALUE"""),TRUE)</f>
        <v>1</v>
      </c>
      <c r="D41" s="9">
        <f>IFERROR(__xludf.DUMMYFUNCTION("""COMPUTED_VALUE"""),46298.0)</f>
        <v>46298</v>
      </c>
      <c r="E41" s="8">
        <f>IFERROR(__xludf.DUMMYFUNCTION("""COMPUTED_VALUE"""),9.0)</f>
        <v>9</v>
      </c>
      <c r="F41" s="8">
        <f>IFERROR(__xludf.DUMMYFUNCTION("""COMPUTED_VALUE"""),8.0)</f>
        <v>8</v>
      </c>
      <c r="N41" s="51"/>
      <c r="O41" s="51"/>
    </row>
    <row r="42">
      <c r="A42" s="8" t="str">
        <f>IFERROR(__xludf.DUMMYFUNCTION("""COMPUTED_VALUE"""),"2.2.4 Armazenamento das peças disponíveis")</f>
        <v>2.2.4 Armazenamento das peças disponíveis</v>
      </c>
      <c r="B42" s="8">
        <f>IFERROR(__xludf.DUMMYFUNCTION("""COMPUTED_VALUE"""),2.0)</f>
        <v>2</v>
      </c>
      <c r="C42" s="8" t="b">
        <f>IFERROR(__xludf.DUMMYFUNCTION("""COMPUTED_VALUE"""),FALSE)</f>
        <v>0</v>
      </c>
      <c r="D42" s="9" t="str">
        <f>IFERROR(__xludf.DUMMYFUNCTION("""COMPUTED_VALUE"""),"")</f>
        <v/>
      </c>
      <c r="E42" s="8">
        <f>IFERROR(__xludf.DUMMYFUNCTION("""COMPUTED_VALUE"""),9.0)</f>
        <v>9</v>
      </c>
      <c r="F42" s="8" t="str">
        <f>IFERROR(__xludf.DUMMYFUNCTION("""COMPUTED_VALUE"""),"")</f>
        <v/>
      </c>
    </row>
    <row r="43">
      <c r="A43" s="8" t="str">
        <f>IFERROR(__xludf.DUMMYFUNCTION("""COMPUTED_VALUE"""),"2.3.1.1 Afogamento")</f>
        <v>2.3.1.1 Afogamento</v>
      </c>
      <c r="B43" s="8">
        <f>IFERROR(__xludf.DUMMYFUNCTION("""COMPUTED_VALUE"""),2.5)</f>
        <v>2.5</v>
      </c>
      <c r="C43" s="8" t="b">
        <f>IFERROR(__xludf.DUMMYFUNCTION("""COMPUTED_VALUE"""),FALSE)</f>
        <v>0</v>
      </c>
      <c r="D43" s="9" t="str">
        <f>IFERROR(__xludf.DUMMYFUNCTION("""COMPUTED_VALUE"""),"")</f>
        <v/>
      </c>
      <c r="E43" s="8">
        <f>IFERROR(__xludf.DUMMYFUNCTION("""COMPUTED_VALUE"""),10.0)</f>
        <v>10</v>
      </c>
      <c r="F43" s="8" t="str">
        <f>IFERROR(__xludf.DUMMYFUNCTION("""COMPUTED_VALUE"""),"")</f>
        <v/>
      </c>
    </row>
    <row r="44">
      <c r="A44" s="8" t="str">
        <f>IFERROR(__xludf.DUMMYFUNCTION("""COMPUTED_VALUE"""),"2.3.1.2 Falta de Peças")</f>
        <v>2.3.1.2 Falta de Peças</v>
      </c>
      <c r="B44" s="8">
        <f>IFERROR(__xludf.DUMMYFUNCTION("""COMPUTED_VALUE"""),3.0)</f>
        <v>3</v>
      </c>
      <c r="C44" s="8" t="b">
        <f>IFERROR(__xludf.DUMMYFUNCTION("""COMPUTED_VALUE"""),FALSE)</f>
        <v>0</v>
      </c>
      <c r="D44" s="9" t="str">
        <f>IFERROR(__xludf.DUMMYFUNCTION("""COMPUTED_VALUE"""),"")</f>
        <v/>
      </c>
      <c r="E44" s="8">
        <f>IFERROR(__xludf.DUMMYFUNCTION("""COMPUTED_VALUE"""),10.0)</f>
        <v>10</v>
      </c>
      <c r="F44" s="8" t="str">
        <f>IFERROR(__xludf.DUMMYFUNCTION("""COMPUTED_VALUE"""),"")</f>
        <v/>
      </c>
    </row>
    <row r="45">
      <c r="A45" s="8" t="str">
        <f>IFERROR(__xludf.DUMMYFUNCTION("""COMPUTED_VALUE"""),"2.3.1.3 50 lances")</f>
        <v>2.3.1.3 50 lances</v>
      </c>
      <c r="B45" s="8">
        <f>IFERROR(__xludf.DUMMYFUNCTION("""COMPUTED_VALUE"""),3.0)</f>
        <v>3</v>
      </c>
      <c r="C45" s="8" t="b">
        <f>IFERROR(__xludf.DUMMYFUNCTION("""COMPUTED_VALUE"""),FALSE)</f>
        <v>0</v>
      </c>
      <c r="D45" s="9" t="str">
        <f>IFERROR(__xludf.DUMMYFUNCTION("""COMPUTED_VALUE"""),"")</f>
        <v/>
      </c>
      <c r="E45" s="8">
        <f>IFERROR(__xludf.DUMMYFUNCTION("""COMPUTED_VALUE"""),10.0)</f>
        <v>10</v>
      </c>
      <c r="F45" s="8" t="str">
        <f>IFERROR(__xludf.DUMMYFUNCTION("""COMPUTED_VALUE"""),"")</f>
        <v/>
      </c>
    </row>
    <row r="46">
      <c r="A46" s="8" t="str">
        <f>IFERROR(__xludf.DUMMYFUNCTION("""COMPUTED_VALUE"""),"2.3.1.4 Tripla Repetição")</f>
        <v>2.3.1.4 Tripla Repetição</v>
      </c>
      <c r="B46" s="8">
        <f>IFERROR(__xludf.DUMMYFUNCTION("""COMPUTED_VALUE"""),2.0)</f>
        <v>2</v>
      </c>
      <c r="C46" s="8" t="b">
        <f>IFERROR(__xludf.DUMMYFUNCTION("""COMPUTED_VALUE"""),FALSE)</f>
        <v>0</v>
      </c>
      <c r="D46" s="9" t="str">
        <f>IFERROR(__xludf.DUMMYFUNCTION("""COMPUTED_VALUE"""),"")</f>
        <v/>
      </c>
      <c r="E46" s="8">
        <f>IFERROR(__xludf.DUMMYFUNCTION("""COMPUTED_VALUE"""),10.0)</f>
        <v>10</v>
      </c>
      <c r="F46" s="8" t="str">
        <f>IFERROR(__xludf.DUMMYFUNCTION("""COMPUTED_VALUE"""),"")</f>
        <v/>
      </c>
    </row>
    <row r="47">
      <c r="A47" s="8" t="str">
        <f>IFERROR(__xludf.DUMMYFUNCTION("""COMPUTED_VALUE"""),"2.3.2.1 Detectar Xeque e Xeque Mate")</f>
        <v>2.3.2.1 Detectar Xeque e Xeque Mate</v>
      </c>
      <c r="B47" s="8">
        <f>IFERROR(__xludf.DUMMYFUNCTION("""COMPUTED_VALUE"""),2.0)</f>
        <v>2</v>
      </c>
      <c r="C47" s="8" t="b">
        <f>IFERROR(__xludf.DUMMYFUNCTION("""COMPUTED_VALUE"""),FALSE)</f>
        <v>0</v>
      </c>
      <c r="D47" s="9" t="str">
        <f>IFERROR(__xludf.DUMMYFUNCTION("""COMPUTED_VALUE"""),"")</f>
        <v/>
      </c>
      <c r="E47" s="8">
        <f>IFERROR(__xludf.DUMMYFUNCTION("""COMPUTED_VALUE"""),10.0)</f>
        <v>10</v>
      </c>
      <c r="F47" s="8" t="str">
        <f>IFERROR(__xludf.DUMMYFUNCTION("""COMPUTED_VALUE"""),"")</f>
        <v/>
      </c>
    </row>
    <row r="48">
      <c r="A48" s="8" t="str">
        <f>IFERROR(__xludf.DUMMYFUNCTION("""COMPUTED_VALUE"""),"2.3.2.2 Armazenar Partida em Histórico")</f>
        <v>2.3.2.2 Armazenar Partida em Histórico</v>
      </c>
      <c r="B48" s="8">
        <f>IFERROR(__xludf.DUMMYFUNCTION("""COMPUTED_VALUE"""),2.0)</f>
        <v>2</v>
      </c>
      <c r="C48" s="8" t="b">
        <f>IFERROR(__xludf.DUMMYFUNCTION("""COMPUTED_VALUE"""),FALSE)</f>
        <v>0</v>
      </c>
      <c r="D48" s="9" t="str">
        <f>IFERROR(__xludf.DUMMYFUNCTION("""COMPUTED_VALUE"""),"")</f>
        <v/>
      </c>
      <c r="E48" s="8">
        <f>IFERROR(__xludf.DUMMYFUNCTION("""COMPUTED_VALUE"""),10.0)</f>
        <v>10</v>
      </c>
      <c r="F48" s="8" t="str">
        <f>IFERROR(__xludf.DUMMYFUNCTION("""COMPUTED_VALUE"""),"")</f>
        <v/>
      </c>
    </row>
    <row r="49">
      <c r="A49" s="8" t="str">
        <f>IFERROR(__xludf.DUMMYFUNCTION("""COMPUTED_VALUE"""),"2.3.3 Bloquear movimentos desistentes")</f>
        <v>2.3.3 Bloquear movimentos desistentes</v>
      </c>
      <c r="B49" s="8">
        <f>IFERROR(__xludf.DUMMYFUNCTION("""COMPUTED_VALUE"""),2.0)</f>
        <v>2</v>
      </c>
      <c r="C49" s="8" t="b">
        <f>IFERROR(__xludf.DUMMYFUNCTION("""COMPUTED_VALUE"""),FALSE)</f>
        <v>0</v>
      </c>
      <c r="D49" s="9" t="str">
        <f>IFERROR(__xludf.DUMMYFUNCTION("""COMPUTED_VALUE"""),"")</f>
        <v/>
      </c>
      <c r="E49" s="8">
        <f>IFERROR(__xludf.DUMMYFUNCTION("""COMPUTED_VALUE"""),10.0)</f>
        <v>10</v>
      </c>
      <c r="F49" s="8" t="str">
        <f>IFERROR(__xludf.DUMMYFUNCTION("""COMPUTED_VALUE"""),"")</f>
        <v/>
      </c>
    </row>
    <row r="50">
      <c r="A50" s="8" t="str">
        <f>IFERROR(__xludf.DUMMYFUNCTION("""COMPUTED_VALUE"""),"2.3.4 Detectar Cravada")</f>
        <v>2.3.4 Detectar Cravada</v>
      </c>
      <c r="B50" s="8">
        <f>IFERROR(__xludf.DUMMYFUNCTION("""COMPUTED_VALUE"""),2.5)</f>
        <v>2.5</v>
      </c>
      <c r="C50" s="8" t="b">
        <f>IFERROR(__xludf.DUMMYFUNCTION("""COMPUTED_VALUE"""),FALSE)</f>
        <v>0</v>
      </c>
      <c r="D50" s="9" t="str">
        <f>IFERROR(__xludf.DUMMYFUNCTION("""COMPUTED_VALUE"""),"")</f>
        <v/>
      </c>
      <c r="E50" s="8">
        <f>IFERROR(__xludf.DUMMYFUNCTION("""COMPUTED_VALUE"""),10.0)</f>
        <v>10</v>
      </c>
      <c r="F50" s="8" t="str">
        <f>IFERROR(__xludf.DUMMYFUNCTION("""COMPUTED_VALUE"""),"")</f>
        <v/>
      </c>
    </row>
    <row r="51">
      <c r="A51" s="8" t="str">
        <f>IFERROR(__xludf.DUMMYFUNCTION("""COMPUTED_VALUE"""),"2.4.1 Testes de Movimento")</f>
        <v>2.4.1 Testes de Movimento</v>
      </c>
      <c r="B51" s="8">
        <f>IFERROR(__xludf.DUMMYFUNCTION("""COMPUTED_VALUE"""),5.0)</f>
        <v>5</v>
      </c>
      <c r="C51" s="8" t="b">
        <f>IFERROR(__xludf.DUMMYFUNCTION("""COMPUTED_VALUE"""),FALSE)</f>
        <v>0</v>
      </c>
      <c r="D51" s="9" t="str">
        <f>IFERROR(__xludf.DUMMYFUNCTION("""COMPUTED_VALUE"""),"")</f>
        <v/>
      </c>
      <c r="E51" s="8">
        <f>IFERROR(__xludf.DUMMYFUNCTION("""COMPUTED_VALUE"""),8.0)</f>
        <v>8</v>
      </c>
      <c r="F51" s="8" t="str">
        <f>IFERROR(__xludf.DUMMYFUNCTION("""COMPUTED_VALUE"""),"")</f>
        <v/>
      </c>
    </row>
    <row r="52">
      <c r="A52" s="8" t="str">
        <f>IFERROR(__xludf.DUMMYFUNCTION("""COMPUTED_VALUE"""),"2.4.2 Testes de detecção do estado da partida")</f>
        <v>2.4.2 Testes de detecção do estado da partida</v>
      </c>
      <c r="B52" s="8">
        <f>IFERROR(__xludf.DUMMYFUNCTION("""COMPUTED_VALUE"""),5.0)</f>
        <v>5</v>
      </c>
      <c r="C52" s="8" t="b">
        <f>IFERROR(__xludf.DUMMYFUNCTION("""COMPUTED_VALUE"""),FALSE)</f>
        <v>0</v>
      </c>
      <c r="D52" s="9" t="str">
        <f>IFERROR(__xludf.DUMMYFUNCTION("""COMPUTED_VALUE"""),"")</f>
        <v/>
      </c>
      <c r="E52" s="8">
        <f>IFERROR(__xludf.DUMMYFUNCTION("""COMPUTED_VALUE"""),10.0)</f>
        <v>10</v>
      </c>
      <c r="F52" s="8" t="str">
        <f>IFERROR(__xludf.DUMMYFUNCTION("""COMPUTED_VALUE"""),"")</f>
        <v/>
      </c>
    </row>
    <row r="53">
      <c r="A53" s="8" t="str">
        <f>IFERROR(__xludf.DUMMYFUNCTION("""COMPUTED_VALUE"""),"3.1.1 Função de Avaliação")</f>
        <v>3.1.1 Função de Avaliação</v>
      </c>
      <c r="B53" s="8">
        <f>IFERROR(__xludf.DUMMYFUNCTION("""COMPUTED_VALUE"""),5.0)</f>
        <v>5</v>
      </c>
      <c r="C53" s="8" t="b">
        <f>IFERROR(__xludf.DUMMYFUNCTION("""COMPUTED_VALUE"""),TRUE)</f>
        <v>1</v>
      </c>
      <c r="D53" s="9">
        <f>IFERROR(__xludf.DUMMYFUNCTION("""COMPUTED_VALUE"""),46298.0)</f>
        <v>46298</v>
      </c>
      <c r="E53" s="8">
        <f>IFERROR(__xludf.DUMMYFUNCTION("""COMPUTED_VALUE"""),8.0)</f>
        <v>8</v>
      </c>
      <c r="F53" s="8">
        <f>IFERROR(__xludf.DUMMYFUNCTION("""COMPUTED_VALUE"""),8.0)</f>
        <v>8</v>
      </c>
    </row>
    <row r="54">
      <c r="A54" s="8" t="str">
        <f>IFERROR(__xludf.DUMMYFUNCTION("""COMPUTED_VALUE"""),"3.1.2 Busca (Alpha-Beta)")</f>
        <v>3.1.2 Busca (Alpha-Beta)</v>
      </c>
      <c r="B54" s="8">
        <f>IFERROR(__xludf.DUMMYFUNCTION("""COMPUTED_VALUE"""),5.0)</f>
        <v>5</v>
      </c>
      <c r="C54" s="8" t="b">
        <f>IFERROR(__xludf.DUMMYFUNCTION("""COMPUTED_VALUE"""),TRUE)</f>
        <v>1</v>
      </c>
      <c r="D54" s="9">
        <f>IFERROR(__xludf.DUMMYFUNCTION("""COMPUTED_VALUE"""),46298.0)</f>
        <v>46298</v>
      </c>
      <c r="E54" s="8">
        <f>IFERROR(__xludf.DUMMYFUNCTION("""COMPUTED_VALUE"""),8.0)</f>
        <v>8</v>
      </c>
      <c r="F54" s="8">
        <f>IFERROR(__xludf.DUMMYFUNCTION("""COMPUTED_VALUE"""),8.0)</f>
        <v>8</v>
      </c>
    </row>
    <row r="55">
      <c r="A55" s="8" t="str">
        <f>IFERROR(__xludf.DUMMYFUNCTION("""COMPUTED_VALUE"""),"3.1.3 Geração de Jogadas")</f>
        <v>3.1.3 Geração de Jogadas</v>
      </c>
      <c r="B55" s="8">
        <f>IFERROR(__xludf.DUMMYFUNCTION("""COMPUTED_VALUE"""),5.0)</f>
        <v>5</v>
      </c>
      <c r="C55" s="8" t="b">
        <f>IFERROR(__xludf.DUMMYFUNCTION("""COMPUTED_VALUE"""),TRUE)</f>
        <v>1</v>
      </c>
      <c r="D55" s="9">
        <f>IFERROR(__xludf.DUMMYFUNCTION("""COMPUTED_VALUE"""),46298.0)</f>
        <v>46298</v>
      </c>
      <c r="E55" s="8">
        <f>IFERROR(__xludf.DUMMYFUNCTION("""COMPUTED_VALUE"""),9.0)</f>
        <v>9</v>
      </c>
      <c r="F55" s="8">
        <f>IFERROR(__xludf.DUMMYFUNCTION("""COMPUTED_VALUE"""),8.0)</f>
        <v>8</v>
      </c>
    </row>
    <row r="56">
      <c r="A56" s="8" t="str">
        <f>IFERROR(__xludf.DUMMYFUNCTION("""COMPUTED_VALUE"""),"3.2.1 Definição de Parâmetros por nível de dificuldade")</f>
        <v>3.2.1 Definição de Parâmetros por nível de dificuldade</v>
      </c>
      <c r="B56" s="8">
        <f>IFERROR(__xludf.DUMMYFUNCTION("""COMPUTED_VALUE"""),3.0)</f>
        <v>3</v>
      </c>
      <c r="C56" s="8" t="b">
        <f>IFERROR(__xludf.DUMMYFUNCTION("""COMPUTED_VALUE"""),FALSE)</f>
        <v>0</v>
      </c>
      <c r="D56" s="9" t="str">
        <f>IFERROR(__xludf.DUMMYFUNCTION("""COMPUTED_VALUE"""),"")</f>
        <v/>
      </c>
      <c r="E56" s="8">
        <f>IFERROR(__xludf.DUMMYFUNCTION("""COMPUTED_VALUE"""),9.0)</f>
        <v>9</v>
      </c>
      <c r="F56" s="8" t="str">
        <f>IFERROR(__xludf.DUMMYFUNCTION("""COMPUTED_VALUE"""),"")</f>
        <v/>
      </c>
    </row>
    <row r="57">
      <c r="A57" s="8" t="str">
        <f>IFERROR(__xludf.DUMMYFUNCTION("""COMPUTED_VALUE"""),"3.2.2 Profundidade de busca")</f>
        <v>3.2.2 Profundidade de busca</v>
      </c>
      <c r="B57" s="8">
        <f>IFERROR(__xludf.DUMMYFUNCTION("""COMPUTED_VALUE"""),5.0)</f>
        <v>5</v>
      </c>
      <c r="C57" s="8" t="b">
        <f>IFERROR(__xludf.DUMMYFUNCTION("""COMPUTED_VALUE"""),TRUE)</f>
        <v>1</v>
      </c>
      <c r="D57" s="9">
        <f>IFERROR(__xludf.DUMMYFUNCTION("""COMPUTED_VALUE"""),46298.0)</f>
        <v>46298</v>
      </c>
      <c r="E57" s="8">
        <f>IFERROR(__xludf.DUMMYFUNCTION("""COMPUTED_VALUE"""),9.0)</f>
        <v>9</v>
      </c>
      <c r="F57" s="8">
        <f>IFERROR(__xludf.DUMMYFUNCTION("""COMPUTED_VALUE"""),8.0)</f>
        <v>8</v>
      </c>
    </row>
    <row r="58">
      <c r="A58" s="8" t="str">
        <f>IFERROR(__xludf.DUMMYFUNCTION("""COMPUTED_VALUE"""),"3.2.3 Critérios de Avaliação")</f>
        <v>3.2.3 Critérios de Avaliação</v>
      </c>
      <c r="B58" s="8">
        <f>IFERROR(__xludf.DUMMYFUNCTION("""COMPUTED_VALUE"""),8.0)</f>
        <v>8</v>
      </c>
      <c r="C58" s="8" t="b">
        <f>IFERROR(__xludf.DUMMYFUNCTION("""COMPUTED_VALUE"""),TRUE)</f>
        <v>1</v>
      </c>
      <c r="D58" s="9">
        <f>IFERROR(__xludf.DUMMYFUNCTION("""COMPUTED_VALUE"""),46298.0)</f>
        <v>46298</v>
      </c>
      <c r="E58" s="8">
        <f>IFERROR(__xludf.DUMMYFUNCTION("""COMPUTED_VALUE"""),8.0)</f>
        <v>8</v>
      </c>
      <c r="F58" s="8">
        <f>IFERROR(__xludf.DUMMYFUNCTION("""COMPUTED_VALUE"""),8.0)</f>
        <v>8</v>
      </c>
    </row>
    <row r="59">
      <c r="A59" s="8" t="str">
        <f>IFERROR(__xludf.DUMMYFUNCTION("""COMPUTED_VALUE"""),"3.3.1 Testes do MinMax")</f>
        <v>3.3.1 Testes do MinMax</v>
      </c>
      <c r="B59" s="8">
        <f>IFERROR(__xludf.DUMMYFUNCTION("""COMPUTED_VALUE"""),8.0)</f>
        <v>8</v>
      </c>
      <c r="C59" s="8" t="b">
        <f>IFERROR(__xludf.DUMMYFUNCTION("""COMPUTED_VALUE"""),FALSE)</f>
        <v>0</v>
      </c>
      <c r="D59" s="9" t="str">
        <f>IFERROR(__xludf.DUMMYFUNCTION("""COMPUTED_VALUE"""),"")</f>
        <v/>
      </c>
      <c r="E59" s="8">
        <f>IFERROR(__xludf.DUMMYFUNCTION("""COMPUTED_VALUE"""),10.0)</f>
        <v>10</v>
      </c>
      <c r="F59" s="8" t="str">
        <f>IFERROR(__xludf.DUMMYFUNCTION("""COMPUTED_VALUE"""),"")</f>
        <v/>
      </c>
    </row>
    <row r="60">
      <c r="A60" s="8" t="str">
        <f>IFERROR(__xludf.DUMMYFUNCTION("""COMPUTED_VALUE"""),"3.3.2 Testes da função de avaliação")</f>
        <v>3.3.2 Testes da função de avaliação</v>
      </c>
      <c r="B60" s="8">
        <f>IFERROR(__xludf.DUMMYFUNCTION("""COMPUTED_VALUE"""),8.0)</f>
        <v>8</v>
      </c>
      <c r="C60" s="8" t="b">
        <f>IFERROR(__xludf.DUMMYFUNCTION("""COMPUTED_VALUE"""),FALSE)</f>
        <v>0</v>
      </c>
      <c r="D60" s="9" t="str">
        <f>IFERROR(__xludf.DUMMYFUNCTION("""COMPUTED_VALUE"""),"")</f>
        <v/>
      </c>
      <c r="E60" s="8">
        <f>IFERROR(__xludf.DUMMYFUNCTION("""COMPUTED_VALUE"""),8.0)</f>
        <v>8</v>
      </c>
      <c r="F60" s="8" t="str">
        <f>IFERROR(__xludf.DUMMYFUNCTION("""COMPUTED_VALUE"""),"")</f>
        <v/>
      </c>
    </row>
    <row r="61">
      <c r="A61" s="8" t="str">
        <f>IFERROR(__xludf.DUMMYFUNCTION("""COMPUTED_VALUE"""),"3.3.3 Testes dos níveis de dificuldade")</f>
        <v>3.3.3 Testes dos níveis de dificuldade</v>
      </c>
      <c r="B61" s="8">
        <f>IFERROR(__xludf.DUMMYFUNCTION("""COMPUTED_VALUE"""),8.0)</f>
        <v>8</v>
      </c>
      <c r="C61" s="8" t="b">
        <f>IFERROR(__xludf.DUMMYFUNCTION("""COMPUTED_VALUE"""),FALSE)</f>
        <v>0</v>
      </c>
      <c r="D61" s="9" t="str">
        <f>IFERROR(__xludf.DUMMYFUNCTION("""COMPUTED_VALUE"""),"")</f>
        <v/>
      </c>
      <c r="E61" s="8">
        <f>IFERROR(__xludf.DUMMYFUNCTION("""COMPUTED_VALUE"""),10.0)</f>
        <v>10</v>
      </c>
      <c r="F61" s="8" t="str">
        <f>IFERROR(__xludf.DUMMYFUNCTION("""COMPUTED_VALUE"""),"")</f>
        <v/>
      </c>
    </row>
    <row r="62">
      <c r="A62" s="8" t="str">
        <f>IFERROR(__xludf.DUMMYFUNCTION("""COMPUTED_VALUE"""),"4.1.1 EAP")</f>
        <v>4.1.1 EAP</v>
      </c>
      <c r="B62" s="8">
        <f>IFERROR(__xludf.DUMMYFUNCTION("""COMPUTED_VALUE"""),6.0)</f>
        <v>6</v>
      </c>
      <c r="C62" s="8" t="b">
        <f>IFERROR(__xludf.DUMMYFUNCTION("""COMPUTED_VALUE"""),TRUE)</f>
        <v>1</v>
      </c>
      <c r="D62" s="9">
        <f>IFERROR(__xludf.DUMMYFUNCTION("""COMPUTED_VALUE"""),46270.0)</f>
        <v>46270</v>
      </c>
      <c r="E62" s="8">
        <f>IFERROR(__xludf.DUMMYFUNCTION("""COMPUTED_VALUE"""),2.0)</f>
        <v>2</v>
      </c>
      <c r="F62" s="8">
        <f>IFERROR(__xludf.DUMMYFUNCTION("""COMPUTED_VALUE"""),3.0)</f>
        <v>3</v>
      </c>
    </row>
    <row r="63">
      <c r="A63" s="8" t="str">
        <f>IFERROR(__xludf.DUMMYFUNCTION("""COMPUTED_VALUE"""),"4.1.2.1 Planning Poker")</f>
        <v>4.1.2.1 Planning Poker</v>
      </c>
      <c r="B63" s="8">
        <f>IFERROR(__xludf.DUMMYFUNCTION("""COMPUTED_VALUE"""),3.0)</f>
        <v>3</v>
      </c>
      <c r="C63" s="8" t="b">
        <f>IFERROR(__xludf.DUMMYFUNCTION("""COMPUTED_VALUE"""),TRUE)</f>
        <v>1</v>
      </c>
      <c r="D63" s="9">
        <f>IFERROR(__xludf.DUMMYFUNCTION("""COMPUTED_VALUE"""),46270.0)</f>
        <v>46270</v>
      </c>
      <c r="E63" s="8">
        <f>IFERROR(__xludf.DUMMYFUNCTION("""COMPUTED_VALUE"""),4.0)</f>
        <v>4</v>
      </c>
      <c r="F63" s="8">
        <f>IFERROR(__xludf.DUMMYFUNCTION("""COMPUTED_VALUE"""),4.0)</f>
        <v>4</v>
      </c>
    </row>
    <row r="64">
      <c r="A64" s="8" t="str">
        <f>IFERROR(__xludf.DUMMYFUNCTION("""COMPUTED_VALUE"""),"4.1.2.2 APF")</f>
        <v>4.1.2.2 APF</v>
      </c>
      <c r="B64" s="8">
        <f>IFERROR(__xludf.DUMMYFUNCTION("""COMPUTED_VALUE"""),3.0)</f>
        <v>3</v>
      </c>
      <c r="C64" s="8" t="b">
        <f>IFERROR(__xludf.DUMMYFUNCTION("""COMPUTED_VALUE"""),TRUE)</f>
        <v>1</v>
      </c>
      <c r="D64" s="9">
        <f>IFERROR(__xludf.DUMMYFUNCTION("""COMPUTED_VALUE"""),46263.0)</f>
        <v>46263</v>
      </c>
      <c r="E64" s="8">
        <f>IFERROR(__xludf.DUMMYFUNCTION("""COMPUTED_VALUE"""),3.0)</f>
        <v>3</v>
      </c>
      <c r="F64" s="8">
        <f>IFERROR(__xludf.DUMMYFUNCTION("""COMPUTED_VALUE"""),3.0)</f>
        <v>3</v>
      </c>
    </row>
    <row r="65">
      <c r="A65" s="8" t="str">
        <f>IFERROR(__xludf.DUMMYFUNCTION("""COMPUTED_VALUE"""),"4.1.2.3 COCOMO")</f>
        <v>4.1.2.3 COCOMO</v>
      </c>
      <c r="B65" s="8">
        <f>IFERROR(__xludf.DUMMYFUNCTION("""COMPUTED_VALUE"""),2.0)</f>
        <v>2</v>
      </c>
      <c r="C65" s="8" t="b">
        <f>IFERROR(__xludf.DUMMYFUNCTION("""COMPUTED_VALUE"""),TRUE)</f>
        <v>1</v>
      </c>
      <c r="D65" s="9">
        <f>IFERROR(__xludf.DUMMYFUNCTION("""COMPUTED_VALUE"""),46263.0)</f>
        <v>46263</v>
      </c>
      <c r="E65" s="8">
        <f>IFERROR(__xludf.DUMMYFUNCTION("""COMPUTED_VALUE"""),3.0)</f>
        <v>3</v>
      </c>
      <c r="F65" s="8">
        <f>IFERROR(__xludf.DUMMYFUNCTION("""COMPUTED_VALUE"""),3.0)</f>
        <v>3</v>
      </c>
    </row>
    <row r="66">
      <c r="A66" s="8" t="str">
        <f>IFERROR(__xludf.DUMMYFUNCTION("""COMPUTED_VALUE"""),"4.2.2.1 1º Apresentação")</f>
        <v>4.2.2.1 1º Apresentação</v>
      </c>
      <c r="B66" s="8">
        <f>IFERROR(__xludf.DUMMYFUNCTION("""COMPUTED_VALUE"""),3.5)</f>
        <v>3.5</v>
      </c>
      <c r="C66" s="8" t="b">
        <f>IFERROR(__xludf.DUMMYFUNCTION("""COMPUTED_VALUE"""),TRUE)</f>
        <v>1</v>
      </c>
      <c r="D66" s="9">
        <f>IFERROR(__xludf.DUMMYFUNCTION("""COMPUTED_VALUE"""),46279.0)</f>
        <v>46279</v>
      </c>
      <c r="E66" s="8">
        <f>IFERROR(__xludf.DUMMYFUNCTION("""COMPUTED_VALUE"""),6.0)</f>
        <v>6</v>
      </c>
      <c r="F66" s="8">
        <f>IFERROR(__xludf.DUMMYFUNCTION("""COMPUTED_VALUE"""),6.0)</f>
        <v>6</v>
      </c>
    </row>
    <row r="67">
      <c r="A67" s="8" t="str">
        <f>IFERROR(__xludf.DUMMYFUNCTION("""COMPUTED_VALUE"""),"4.2.2.2 2º Apresentação")</f>
        <v>4.2.2.2 2º Apresentação</v>
      </c>
      <c r="B67" s="8">
        <f>IFERROR(__xludf.DUMMYFUNCTION("""COMPUTED_VALUE"""),3.5)</f>
        <v>3.5</v>
      </c>
      <c r="C67" s="8" t="b">
        <f>IFERROR(__xludf.DUMMYFUNCTION("""COMPUTED_VALUE"""),FALSE)</f>
        <v>0</v>
      </c>
      <c r="D67" s="9" t="str">
        <f>IFERROR(__xludf.DUMMYFUNCTION("""COMPUTED_VALUE"""),"")</f>
        <v/>
      </c>
      <c r="E67" s="8">
        <f>IFERROR(__xludf.DUMMYFUNCTION("""COMPUTED_VALUE"""),9.0)</f>
        <v>9</v>
      </c>
      <c r="F67" s="8" t="str">
        <f>IFERROR(__xludf.DUMMYFUNCTION("""COMPUTED_VALUE"""),"")</f>
        <v/>
      </c>
    </row>
    <row r="68">
      <c r="A68" s="8" t="str">
        <f>IFERROR(__xludf.DUMMYFUNCTION("""COMPUTED_VALUE"""),"4.2.2.3 3º Apresentação")</f>
        <v>4.2.2.3 3º Apresentação</v>
      </c>
      <c r="B68" s="8">
        <f>IFERROR(__xludf.DUMMYFUNCTION("""COMPUTED_VALUE"""),3.5)</f>
        <v>3.5</v>
      </c>
      <c r="C68" s="8" t="b">
        <f>IFERROR(__xludf.DUMMYFUNCTION("""COMPUTED_VALUE"""),FALSE)</f>
        <v>0</v>
      </c>
      <c r="D68" s="9" t="str">
        <f>IFERROR(__xludf.DUMMYFUNCTION("""COMPUTED_VALUE"""),"")</f>
        <v/>
      </c>
      <c r="E68" s="8">
        <f>IFERROR(__xludf.DUMMYFUNCTION("""COMPUTED_VALUE"""),16.0)</f>
        <v>16</v>
      </c>
      <c r="F68" s="8" t="str">
        <f>IFERROR(__xludf.DUMMYFUNCTION("""COMPUTED_VALUE"""),"")</f>
        <v/>
      </c>
    </row>
    <row r="69">
      <c r="A69" s="8" t="str">
        <f>IFERROR(__xludf.DUMMYFUNCTION("""COMPUTED_VALUE"""),"4.2.3 Arquitetura e Divisão de Tarefas")</f>
        <v>4.2.3 Arquitetura e Divisão de Tarefas</v>
      </c>
      <c r="B69" s="8">
        <f>IFERROR(__xludf.DUMMYFUNCTION("""COMPUTED_VALUE"""),7.0)</f>
        <v>7</v>
      </c>
      <c r="C69" s="8" t="b">
        <f>IFERROR(__xludf.DUMMYFUNCTION("""COMPUTED_VALUE"""),TRUE)</f>
        <v>1</v>
      </c>
      <c r="D69" s="9">
        <f>IFERROR(__xludf.DUMMYFUNCTION("""COMPUTED_VALUE"""),46246.0)</f>
        <v>46246</v>
      </c>
      <c r="E69" s="8">
        <f>IFERROR(__xludf.DUMMYFUNCTION("""COMPUTED_VALUE"""),1.0)</f>
        <v>1</v>
      </c>
      <c r="F69" s="8">
        <f>IFERROR(__xludf.DUMMYFUNCTION("""COMPUTED_VALUE"""),1.0)</f>
        <v>1</v>
      </c>
    </row>
    <row r="70">
      <c r="A70" s="8" t="str">
        <f>IFERROR(__xludf.DUMMYFUNCTION("""COMPUTED_VALUE"""),"4.2.4 Monitoramento")</f>
        <v>4.2.4 Monitoramento</v>
      </c>
      <c r="B70" s="8">
        <f>IFERROR(__xludf.DUMMYFUNCTION("""COMPUTED_VALUE"""),5.0)</f>
        <v>5</v>
      </c>
      <c r="C70" s="8" t="b">
        <f>IFERROR(__xludf.DUMMYFUNCTION("""COMPUTED_VALUE"""),FALSE)</f>
        <v>0</v>
      </c>
      <c r="D70" s="9" t="str">
        <f>IFERROR(__xludf.DUMMYFUNCTION("""COMPUTED_VALUE"""),"")</f>
        <v/>
      </c>
      <c r="E70" s="8">
        <f>IFERROR(__xludf.DUMMYFUNCTION("""COMPUTED_VALUE"""),5.0)</f>
        <v>5</v>
      </c>
      <c r="F70" s="8" t="str">
        <f>IFERROR(__xludf.DUMMYFUNCTION("""COMPUTED_VALUE"""),"")</f>
        <v/>
      </c>
    </row>
    <row r="71">
      <c r="A71" s="8" t="str">
        <f>IFERROR(__xludf.DUMMYFUNCTION("""COMPUTED_VALUE"""),"4.3.1 Gerenciamento de Issues")</f>
        <v>4.3.1 Gerenciamento de Issues</v>
      </c>
      <c r="B71" s="8">
        <f>IFERROR(__xludf.DUMMYFUNCTION("""COMPUTED_VALUE"""),5.0)</f>
        <v>5</v>
      </c>
      <c r="C71" s="8" t="b">
        <f>IFERROR(__xludf.DUMMYFUNCTION("""COMPUTED_VALUE"""),FALSE)</f>
        <v>0</v>
      </c>
      <c r="D71" s="9" t="str">
        <f>IFERROR(__xludf.DUMMYFUNCTION("""COMPUTED_VALUE"""),"")</f>
        <v/>
      </c>
      <c r="E71" s="8">
        <f>IFERROR(__xludf.DUMMYFUNCTION("""COMPUTED_VALUE"""),15.0)</f>
        <v>15</v>
      </c>
      <c r="F71" s="8" t="str">
        <f>IFERROR(__xludf.DUMMYFUNCTION("""COMPUTED_VALUE"""),"")</f>
        <v/>
      </c>
    </row>
    <row r="72">
      <c r="A72" s="8" t="str">
        <f>IFERROR(__xludf.DUMMYFUNCTION("""COMPUTED_VALUE"""),"4.3.2 Kanban")</f>
        <v>4.3.2 Kanban</v>
      </c>
      <c r="B72" s="8">
        <f>IFERROR(__xludf.DUMMYFUNCTION("""COMPUTED_VALUE"""),0.0)</f>
        <v>0</v>
      </c>
      <c r="C72" s="8" t="b">
        <f>IFERROR(__xludf.DUMMYFUNCTION("""COMPUTED_VALUE"""),TRUE)</f>
        <v>1</v>
      </c>
      <c r="D72" s="9" t="str">
        <f>IFERROR(__xludf.DUMMYFUNCTION("""COMPUTED_VALUE"""),"")</f>
        <v/>
      </c>
      <c r="E72" s="8">
        <f>IFERROR(__xludf.DUMMYFUNCTION("""COMPUTED_VALUE"""),3.0)</f>
        <v>3</v>
      </c>
      <c r="F72" s="8">
        <f>IFERROR(__xludf.DUMMYFUNCTION("""COMPUTED_VALUE"""),3.0)</f>
        <v>3</v>
      </c>
    </row>
    <row r="73">
      <c r="A73" s="8" t="str">
        <f>IFERROR(__xludf.DUMMYFUNCTION("""COMPUTED_VALUE"""),"4.3.3 Roadmap (Gantt)")</f>
        <v>4.3.3 Roadmap (Gantt)</v>
      </c>
      <c r="B73" s="8">
        <f>IFERROR(__xludf.DUMMYFUNCTION("""COMPUTED_VALUE"""),5.0)</f>
        <v>5</v>
      </c>
      <c r="C73" s="8" t="b">
        <f>IFERROR(__xludf.DUMMYFUNCTION("""COMPUTED_VALUE"""),TRUE)</f>
        <v>1</v>
      </c>
      <c r="D73" s="9">
        <f>IFERROR(__xludf.DUMMYFUNCTION("""COMPUTED_VALUE"""),46277.0)</f>
        <v>46277</v>
      </c>
      <c r="E73" s="8">
        <f>IFERROR(__xludf.DUMMYFUNCTION("""COMPUTED_VALUE"""),5.0)</f>
        <v>5</v>
      </c>
      <c r="F73" s="8">
        <f>IFERROR(__xludf.DUMMYFUNCTION("""COMPUTED_VALUE"""),5.0)</f>
        <v>5</v>
      </c>
    </row>
    <row r="74">
      <c r="A74" s="8" t="str">
        <f>IFERROR(__xludf.DUMMYFUNCTION("""COMPUTED_VALUE"""),"4.4 Análise de Risco")</f>
        <v>4.4 Análise de Risco</v>
      </c>
      <c r="B74" s="8">
        <f>IFERROR(__xludf.DUMMYFUNCTION("""COMPUTED_VALUE"""),3.0)</f>
        <v>3</v>
      </c>
      <c r="C74" s="8" t="b">
        <f>IFERROR(__xludf.DUMMYFUNCTION("""COMPUTED_VALUE"""),TRUE)</f>
        <v>1</v>
      </c>
      <c r="D74" s="9">
        <f>IFERROR(__xludf.DUMMYFUNCTION("""COMPUTED_VALUE"""),46263.0)</f>
        <v>46263</v>
      </c>
      <c r="E74" s="8">
        <f>IFERROR(__xludf.DUMMYFUNCTION("""COMPUTED_VALUE"""),3.0)</f>
        <v>3</v>
      </c>
      <c r="F74" s="8">
        <f>IFERROR(__xludf.DUMMYFUNCTION("""COMPUTED_VALUE"""),3.0)</f>
        <v>3</v>
      </c>
    </row>
    <row r="75">
      <c r="A75" s="8" t="str">
        <f>IFERROR(__xludf.DUMMYFUNCTION("""COMPUTED_VALUE"""),"5.1 Testes de Integração")</f>
        <v>5.1 Testes de Integração</v>
      </c>
      <c r="B75" s="8">
        <f>IFERROR(__xludf.DUMMYFUNCTION("""COMPUTED_VALUE"""),8.0)</f>
        <v>8</v>
      </c>
      <c r="C75" s="8" t="b">
        <f>IFERROR(__xludf.DUMMYFUNCTION("""COMPUTED_VALUE"""),FALSE)</f>
        <v>0</v>
      </c>
      <c r="D75" s="9" t="str">
        <f>IFERROR(__xludf.DUMMYFUNCTION("""COMPUTED_VALUE"""),"")</f>
        <v/>
      </c>
      <c r="E75" s="8">
        <f>IFERROR(__xludf.DUMMYFUNCTION("""COMPUTED_VALUE"""),15.0)</f>
        <v>15</v>
      </c>
      <c r="F75" s="8" t="str">
        <f>IFERROR(__xludf.DUMMYFUNCTION("""COMPUTED_VALUE"""),"")</f>
        <v/>
      </c>
    </row>
    <row r="76">
      <c r="A76" s="8" t="str">
        <f>IFERROR(__xludf.DUMMYFUNCTION("""COMPUTED_VALUE"""),"5.2 Testes E2E")</f>
        <v>5.2 Testes E2E</v>
      </c>
      <c r="B76" s="8">
        <f>IFERROR(__xludf.DUMMYFUNCTION("""COMPUTED_VALUE"""),8.0)</f>
        <v>8</v>
      </c>
      <c r="C76" s="8" t="b">
        <f>IFERROR(__xludf.DUMMYFUNCTION("""COMPUTED_VALUE"""),FALSE)</f>
        <v>0</v>
      </c>
      <c r="D76" s="9" t="str">
        <f>IFERROR(__xludf.DUMMYFUNCTION("""COMPUTED_VALUE"""),"")</f>
        <v/>
      </c>
      <c r="E76" s="8">
        <f>IFERROR(__xludf.DUMMYFUNCTION("""COMPUTED_VALUE"""),15.0)</f>
        <v>15</v>
      </c>
      <c r="F76" s="8" t="str">
        <f>IFERROR(__xludf.DUMMYFUNCTION("""COMPUTED_VALUE"""),"")</f>
        <v/>
      </c>
    </row>
    <row r="77">
      <c r="A77" s="8" t="str">
        <f>IFERROR(__xludf.DUMMYFUNCTION("""COMPUTED_VALUE"""),"4.2.1.1 Reunião Semanal 1")</f>
        <v>4.2.1.1 Reunião Semanal 1</v>
      </c>
      <c r="B77" s="8">
        <f>IFERROR(__xludf.DUMMYFUNCTION("""COMPUTED_VALUE"""),17.5)</f>
        <v>17.5</v>
      </c>
      <c r="C77" s="8" t="b">
        <f>IFERROR(__xludf.DUMMYFUNCTION("""COMPUTED_VALUE"""),TRUE)</f>
        <v>1</v>
      </c>
      <c r="D77" s="9">
        <f>IFERROR(__xludf.DUMMYFUNCTION("""COMPUTED_VALUE"""),46249.0)</f>
        <v>46249</v>
      </c>
      <c r="E77" s="8">
        <f>IFERROR(__xludf.DUMMYFUNCTION("""COMPUTED_VALUE"""),1.0)</f>
        <v>1</v>
      </c>
      <c r="F77" s="8">
        <f>IFERROR(__xludf.DUMMYFUNCTION("""COMPUTED_VALUE"""),1.0)</f>
        <v>1</v>
      </c>
    </row>
    <row r="78">
      <c r="A78" s="8" t="str">
        <f>IFERROR(__xludf.DUMMYFUNCTION("""COMPUTED_VALUE"""),"4.2.1.2 Reunião Semanal 2")</f>
        <v>4.2.1.2 Reunião Semanal 2</v>
      </c>
      <c r="B78" s="8">
        <f>IFERROR(__xludf.DUMMYFUNCTION("""COMPUTED_VALUE"""),17.5)</f>
        <v>17.5</v>
      </c>
      <c r="C78" s="8" t="b">
        <f>IFERROR(__xludf.DUMMYFUNCTION("""COMPUTED_VALUE"""),TRUE)</f>
        <v>1</v>
      </c>
      <c r="D78" s="9">
        <f>IFERROR(__xludf.DUMMYFUNCTION("""COMPUTED_VALUE"""),46256.0)</f>
        <v>46256</v>
      </c>
      <c r="E78" s="8">
        <f>IFERROR(__xludf.DUMMYFUNCTION("""COMPUTED_VALUE"""),2.0)</f>
        <v>2</v>
      </c>
      <c r="F78" s="8">
        <f>IFERROR(__xludf.DUMMYFUNCTION("""COMPUTED_VALUE"""),2.0)</f>
        <v>2</v>
      </c>
    </row>
    <row r="79">
      <c r="A79" s="8" t="str">
        <f>IFERROR(__xludf.DUMMYFUNCTION("""COMPUTED_VALUE"""),"4.2.1.3 Reunião Semanal 3")</f>
        <v>4.2.1.3 Reunião Semanal 3</v>
      </c>
      <c r="B79" s="8">
        <f>IFERROR(__xludf.DUMMYFUNCTION("""COMPUTED_VALUE"""),17.5)</f>
        <v>17.5</v>
      </c>
      <c r="C79" s="8" t="b">
        <f>IFERROR(__xludf.DUMMYFUNCTION("""COMPUTED_VALUE"""),TRUE)</f>
        <v>1</v>
      </c>
      <c r="D79" s="9">
        <f>IFERROR(__xludf.DUMMYFUNCTION("""COMPUTED_VALUE"""),46263.0)</f>
        <v>46263</v>
      </c>
      <c r="E79" s="8">
        <f>IFERROR(__xludf.DUMMYFUNCTION("""COMPUTED_VALUE"""),3.0)</f>
        <v>3</v>
      </c>
      <c r="F79" s="8">
        <f>IFERROR(__xludf.DUMMYFUNCTION("""COMPUTED_VALUE"""),3.0)</f>
        <v>3</v>
      </c>
    </row>
    <row r="80">
      <c r="A80" s="8" t="str">
        <f>IFERROR(__xludf.DUMMYFUNCTION("""COMPUTED_VALUE"""),"4.2.1.4 Reunião Semanal 4")</f>
        <v>4.2.1.4 Reunião Semanal 4</v>
      </c>
      <c r="B80" s="8">
        <f>IFERROR(__xludf.DUMMYFUNCTION("""COMPUTED_VALUE"""),17.5)</f>
        <v>17.5</v>
      </c>
      <c r="C80" s="8" t="b">
        <f>IFERROR(__xludf.DUMMYFUNCTION("""COMPUTED_VALUE"""),TRUE)</f>
        <v>1</v>
      </c>
      <c r="D80" s="9">
        <f>IFERROR(__xludf.DUMMYFUNCTION("""COMPUTED_VALUE"""),46270.0)</f>
        <v>46270</v>
      </c>
      <c r="E80" s="8">
        <f>IFERROR(__xludf.DUMMYFUNCTION("""COMPUTED_VALUE"""),4.0)</f>
        <v>4</v>
      </c>
      <c r="F80" s="8">
        <f>IFERROR(__xludf.DUMMYFUNCTION("""COMPUTED_VALUE"""),4.0)</f>
        <v>4</v>
      </c>
    </row>
    <row r="81">
      <c r="A81" s="8" t="str">
        <f>IFERROR(__xludf.DUMMYFUNCTION("""COMPUTED_VALUE"""),"4.2.1.5 Reunião Semanal 5")</f>
        <v>4.2.1.5 Reunião Semanal 5</v>
      </c>
      <c r="B81" s="8">
        <f>IFERROR(__xludf.DUMMYFUNCTION("""COMPUTED_VALUE"""),17.5)</f>
        <v>17.5</v>
      </c>
      <c r="C81" s="8" t="b">
        <f>IFERROR(__xludf.DUMMYFUNCTION("""COMPUTED_VALUE"""),TRUE)</f>
        <v>1</v>
      </c>
      <c r="D81" s="9">
        <f>IFERROR(__xludf.DUMMYFUNCTION("""COMPUTED_VALUE"""),46277.0)</f>
        <v>46277</v>
      </c>
      <c r="E81" s="8">
        <f>IFERROR(__xludf.DUMMYFUNCTION("""COMPUTED_VALUE"""),5.0)</f>
        <v>5</v>
      </c>
      <c r="F81" s="8">
        <f>IFERROR(__xludf.DUMMYFUNCTION("""COMPUTED_VALUE"""),5.0)</f>
        <v>5</v>
      </c>
    </row>
    <row r="82">
      <c r="A82" s="8" t="str">
        <f>IFERROR(__xludf.DUMMYFUNCTION("""COMPUTED_VALUE"""),"4.2.1.6 Reunião Semanal 6")</f>
        <v>4.2.1.6 Reunião Semanal 6</v>
      </c>
      <c r="B82" s="8">
        <f>IFERROR(__xludf.DUMMYFUNCTION("""COMPUTED_VALUE"""),17.5)</f>
        <v>17.5</v>
      </c>
      <c r="C82" s="8" t="b">
        <f>IFERROR(__xludf.DUMMYFUNCTION("""COMPUTED_VALUE"""),TRUE)</f>
        <v>1</v>
      </c>
      <c r="D82" s="9">
        <f>IFERROR(__xludf.DUMMYFUNCTION("""COMPUTED_VALUE"""),46284.0)</f>
        <v>46284</v>
      </c>
      <c r="E82" s="8">
        <f>IFERROR(__xludf.DUMMYFUNCTION("""COMPUTED_VALUE"""),6.0)</f>
        <v>6</v>
      </c>
      <c r="F82" s="8">
        <f>IFERROR(__xludf.DUMMYFUNCTION("""COMPUTED_VALUE"""),6.0)</f>
        <v>6</v>
      </c>
    </row>
    <row r="83">
      <c r="A83" s="8" t="str">
        <f>IFERROR(__xludf.DUMMYFUNCTION("""COMPUTED_VALUE"""),"4.2.1.7 Reunião Semanal 7")</f>
        <v>4.2.1.7 Reunião Semanal 7</v>
      </c>
      <c r="B83" s="8">
        <f>IFERROR(__xludf.DUMMYFUNCTION("""COMPUTED_VALUE"""),17.5)</f>
        <v>17.5</v>
      </c>
      <c r="C83" s="8" t="b">
        <f>IFERROR(__xludf.DUMMYFUNCTION("""COMPUTED_VALUE"""),TRUE)</f>
        <v>1</v>
      </c>
      <c r="D83" s="9">
        <f>IFERROR(__xludf.DUMMYFUNCTION("""COMPUTED_VALUE"""),46291.0)</f>
        <v>46291</v>
      </c>
      <c r="E83" s="8">
        <f>IFERROR(__xludf.DUMMYFUNCTION("""COMPUTED_VALUE"""),7.0)</f>
        <v>7</v>
      </c>
      <c r="F83" s="8">
        <f>IFERROR(__xludf.DUMMYFUNCTION("""COMPUTED_VALUE"""),7.0)</f>
        <v>7</v>
      </c>
    </row>
    <row r="84">
      <c r="A84" s="8" t="str">
        <f>IFERROR(__xludf.DUMMYFUNCTION("""COMPUTED_VALUE"""),"4.2.1.8 Reunião Semanal 8")</f>
        <v>4.2.1.8 Reunião Semanal 8</v>
      </c>
      <c r="B84" s="8">
        <f>IFERROR(__xludf.DUMMYFUNCTION("""COMPUTED_VALUE"""),17.5)</f>
        <v>17.5</v>
      </c>
      <c r="C84" s="8" t="b">
        <f>IFERROR(__xludf.DUMMYFUNCTION("""COMPUTED_VALUE"""),TRUE)</f>
        <v>1</v>
      </c>
      <c r="D84" s="9">
        <f>IFERROR(__xludf.DUMMYFUNCTION("""COMPUTED_VALUE"""),46298.0)</f>
        <v>46298</v>
      </c>
      <c r="E84" s="8">
        <f>IFERROR(__xludf.DUMMYFUNCTION("""COMPUTED_VALUE"""),8.0)</f>
        <v>8</v>
      </c>
      <c r="F84" s="8">
        <f>IFERROR(__xludf.DUMMYFUNCTION("""COMPUTED_VALUE"""),8.0)</f>
        <v>8</v>
      </c>
    </row>
    <row r="85">
      <c r="A85" s="8" t="str">
        <f>IFERROR(__xludf.DUMMYFUNCTION("""COMPUTED_VALUE"""),"4.2.1.9 Reunião Semanal 9")</f>
        <v>4.2.1.9 Reunião Semanal 9</v>
      </c>
      <c r="B85" s="8">
        <f>IFERROR(__xludf.DUMMYFUNCTION("""COMPUTED_VALUE"""),17.5)</f>
        <v>17.5</v>
      </c>
      <c r="C85" s="8" t="b">
        <f>IFERROR(__xludf.DUMMYFUNCTION("""COMPUTED_VALUE"""),FALSE)</f>
        <v>0</v>
      </c>
      <c r="D85" s="9" t="str">
        <f>IFERROR(__xludf.DUMMYFUNCTION("""COMPUTED_VALUE"""),"")</f>
        <v/>
      </c>
      <c r="E85" s="8">
        <f>IFERROR(__xludf.DUMMYFUNCTION("""COMPUTED_VALUE"""),9.0)</f>
        <v>9</v>
      </c>
      <c r="F85" s="8" t="str">
        <f>IFERROR(__xludf.DUMMYFUNCTION("""COMPUTED_VALUE"""),"")</f>
        <v/>
      </c>
    </row>
    <row r="86">
      <c r="A86" s="8" t="str">
        <f>IFERROR(__xludf.DUMMYFUNCTION("""COMPUTED_VALUE"""),"4.2.1.10 Reunião Semanal 10")</f>
        <v>4.2.1.10 Reunião Semanal 10</v>
      </c>
      <c r="B86" s="8">
        <f>IFERROR(__xludf.DUMMYFUNCTION("""COMPUTED_VALUE"""),17.5)</f>
        <v>17.5</v>
      </c>
      <c r="C86" s="8" t="b">
        <f>IFERROR(__xludf.DUMMYFUNCTION("""COMPUTED_VALUE"""),FALSE)</f>
        <v>0</v>
      </c>
      <c r="D86" s="9" t="str">
        <f>IFERROR(__xludf.DUMMYFUNCTION("""COMPUTED_VALUE"""),"")</f>
        <v/>
      </c>
      <c r="E86" s="8">
        <f>IFERROR(__xludf.DUMMYFUNCTION("""COMPUTED_VALUE"""),10.0)</f>
        <v>10</v>
      </c>
      <c r="F86" s="8" t="str">
        <f>IFERROR(__xludf.DUMMYFUNCTION("""COMPUTED_VALUE"""),"")</f>
        <v/>
      </c>
    </row>
    <row r="87">
      <c r="A87" s="8" t="str">
        <f>IFERROR(__xludf.DUMMYFUNCTION("""COMPUTED_VALUE"""),"4.2.1.11 Reunião Semanal 11")</f>
        <v>4.2.1.11 Reunião Semanal 11</v>
      </c>
      <c r="B87" s="8">
        <f>IFERROR(__xludf.DUMMYFUNCTION("""COMPUTED_VALUE"""),17.5)</f>
        <v>17.5</v>
      </c>
      <c r="C87" s="8" t="b">
        <f>IFERROR(__xludf.DUMMYFUNCTION("""COMPUTED_VALUE"""),FALSE)</f>
        <v>0</v>
      </c>
      <c r="D87" s="9" t="str">
        <f>IFERROR(__xludf.DUMMYFUNCTION("""COMPUTED_VALUE"""),"")</f>
        <v/>
      </c>
      <c r="E87" s="8">
        <f>IFERROR(__xludf.DUMMYFUNCTION("""COMPUTED_VALUE"""),11.0)</f>
        <v>11</v>
      </c>
      <c r="F87" s="8" t="str">
        <f>IFERROR(__xludf.DUMMYFUNCTION("""COMPUTED_VALUE"""),"")</f>
        <v/>
      </c>
    </row>
    <row r="88">
      <c r="A88" s="8" t="str">
        <f>IFERROR(__xludf.DUMMYFUNCTION("""COMPUTED_VALUE"""),"4.2.1.12 Reunião Semanal 12")</f>
        <v>4.2.1.12 Reunião Semanal 12</v>
      </c>
      <c r="B88" s="8">
        <f>IFERROR(__xludf.DUMMYFUNCTION("""COMPUTED_VALUE"""),17.5)</f>
        <v>17.5</v>
      </c>
      <c r="C88" s="8" t="b">
        <f>IFERROR(__xludf.DUMMYFUNCTION("""COMPUTED_VALUE"""),FALSE)</f>
        <v>0</v>
      </c>
      <c r="D88" s="9" t="str">
        <f>IFERROR(__xludf.DUMMYFUNCTION("""COMPUTED_VALUE"""),"")</f>
        <v/>
      </c>
      <c r="E88" s="8">
        <f>IFERROR(__xludf.DUMMYFUNCTION("""COMPUTED_VALUE"""),12.0)</f>
        <v>12</v>
      </c>
      <c r="F88" s="8" t="str">
        <f>IFERROR(__xludf.DUMMYFUNCTION("""COMPUTED_VALUE"""),"")</f>
        <v/>
      </c>
    </row>
    <row r="89">
      <c r="A89" s="8" t="str">
        <f>IFERROR(__xludf.DUMMYFUNCTION("""COMPUTED_VALUE"""),"4.2.1.13 Reunião Semanal 13")</f>
        <v>4.2.1.13 Reunião Semanal 13</v>
      </c>
      <c r="B89" s="8">
        <f>IFERROR(__xludf.DUMMYFUNCTION("""COMPUTED_VALUE"""),17.5)</f>
        <v>17.5</v>
      </c>
      <c r="C89" s="8" t="b">
        <f>IFERROR(__xludf.DUMMYFUNCTION("""COMPUTED_VALUE"""),FALSE)</f>
        <v>0</v>
      </c>
      <c r="D89" s="9" t="str">
        <f>IFERROR(__xludf.DUMMYFUNCTION("""COMPUTED_VALUE"""),"")</f>
        <v/>
      </c>
      <c r="E89" s="8">
        <f>IFERROR(__xludf.DUMMYFUNCTION("""COMPUTED_VALUE"""),13.0)</f>
        <v>13</v>
      </c>
      <c r="F89" s="8" t="str">
        <f>IFERROR(__xludf.DUMMYFUNCTION("""COMPUTED_VALUE"""),"")</f>
        <v/>
      </c>
    </row>
    <row r="90">
      <c r="A90" s="8" t="str">
        <f>IFERROR(__xludf.DUMMYFUNCTION("""COMPUTED_VALUE"""),"4.2.1.14 Reunião Semanal 14")</f>
        <v>4.2.1.14 Reunião Semanal 14</v>
      </c>
      <c r="B90" s="8">
        <f>IFERROR(__xludf.DUMMYFUNCTION("""COMPUTED_VALUE"""),17.5)</f>
        <v>17.5</v>
      </c>
      <c r="C90" s="8" t="b">
        <f>IFERROR(__xludf.DUMMYFUNCTION("""COMPUTED_VALUE"""),FALSE)</f>
        <v>0</v>
      </c>
      <c r="D90" s="9" t="str">
        <f>IFERROR(__xludf.DUMMYFUNCTION("""COMPUTED_VALUE"""),"")</f>
        <v/>
      </c>
      <c r="E90" s="8">
        <f>IFERROR(__xludf.DUMMYFUNCTION("""COMPUTED_VALUE"""),14.0)</f>
        <v>14</v>
      </c>
      <c r="F90" s="8" t="str">
        <f>IFERROR(__xludf.DUMMYFUNCTION("""COMPUTED_VALUE"""),"")</f>
        <v/>
      </c>
    </row>
    <row r="91">
      <c r="A91" s="8" t="str">
        <f>IFERROR(__xludf.DUMMYFUNCTION("""COMPUTED_VALUE"""),"4.2.1.15 Reunião Semanal 15")</f>
        <v>4.2.1.15 Reunião Semanal 15</v>
      </c>
      <c r="B91" s="8">
        <f>IFERROR(__xludf.DUMMYFUNCTION("""COMPUTED_VALUE"""),17.5)</f>
        <v>17.5</v>
      </c>
      <c r="C91" s="8" t="b">
        <f>IFERROR(__xludf.DUMMYFUNCTION("""COMPUTED_VALUE"""),FALSE)</f>
        <v>0</v>
      </c>
      <c r="D91" s="9" t="str">
        <f>IFERROR(__xludf.DUMMYFUNCTION("""COMPUTED_VALUE"""),"")</f>
        <v/>
      </c>
      <c r="E91" s="8">
        <f>IFERROR(__xludf.DUMMYFUNCTION("""COMPUTED_VALUE"""),15.0)</f>
        <v>15</v>
      </c>
      <c r="F91" s="8" t="str">
        <f>IFERROR(__xludf.DUMMYFUNCTION("""COMPUTED_VALUE"""),"")</f>
        <v/>
      </c>
    </row>
    <row r="92">
      <c r="A92" s="8" t="str">
        <f>IFERROR(__xludf.DUMMYFUNCTION("""COMPUTED_VALUE"""),"4.2.1.16 Reunião Semanal 16")</f>
        <v>4.2.1.16 Reunião Semanal 16</v>
      </c>
      <c r="B92" s="8">
        <f>IFERROR(__xludf.DUMMYFUNCTION("""COMPUTED_VALUE"""),17.5)</f>
        <v>17.5</v>
      </c>
      <c r="C92" s="8" t="b">
        <f>IFERROR(__xludf.DUMMYFUNCTION("""COMPUTED_VALUE"""),FALSE)</f>
        <v>0</v>
      </c>
      <c r="D92" s="9" t="str">
        <f>IFERROR(__xludf.DUMMYFUNCTION("""COMPUTED_VALUE"""),"")</f>
        <v/>
      </c>
      <c r="E92" s="8">
        <f>IFERROR(__xludf.DUMMYFUNCTION("""COMPUTED_VALUE"""),16.0)</f>
        <v>16</v>
      </c>
      <c r="F92" s="8" t="str">
        <f>IFERROR(__xludf.DUMMYFUNCTION("""COMPUTED_VALUE"""),"")</f>
        <v/>
      </c>
    </row>
    <row r="93">
      <c r="D93" s="9"/>
    </row>
    <row r="94">
      <c r="D94" s="9"/>
    </row>
    <row r="95">
      <c r="D95" s="9"/>
    </row>
    <row r="96">
      <c r="D96" s="9"/>
    </row>
    <row r="97">
      <c r="D97" s="9"/>
    </row>
    <row r="98">
      <c r="D98" s="9"/>
    </row>
    <row r="99">
      <c r="D99" s="9"/>
    </row>
    <row r="100">
      <c r="D100" s="9"/>
    </row>
    <row r="101">
      <c r="D101" s="9"/>
    </row>
    <row r="102">
      <c r="D102" s="9"/>
    </row>
    <row r="103">
      <c r="D103" s="9"/>
    </row>
    <row r="104">
      <c r="D104" s="9"/>
    </row>
    <row r="105">
      <c r="D105" s="9"/>
    </row>
    <row r="106">
      <c r="D106" s="9"/>
    </row>
    <row r="107">
      <c r="D107" s="9"/>
    </row>
    <row r="108">
      <c r="D108" s="9"/>
    </row>
    <row r="109">
      <c r="D109" s="9"/>
    </row>
    <row r="110">
      <c r="D110" s="9"/>
    </row>
    <row r="111">
      <c r="D111" s="9"/>
    </row>
    <row r="112">
      <c r="D112" s="9"/>
    </row>
    <row r="113">
      <c r="D113" s="9"/>
    </row>
    <row r="114">
      <c r="D114" s="9"/>
    </row>
    <row r="115">
      <c r="D115" s="9"/>
    </row>
    <row r="116">
      <c r="D116" s="9"/>
    </row>
    <row r="117">
      <c r="D117" s="9"/>
    </row>
    <row r="118">
      <c r="D118" s="9"/>
    </row>
    <row r="119">
      <c r="D119" s="9"/>
    </row>
    <row r="120">
      <c r="D120" s="9"/>
    </row>
    <row r="121">
      <c r="D121" s="9"/>
    </row>
    <row r="122">
      <c r="D122" s="9"/>
    </row>
    <row r="123">
      <c r="D123" s="9"/>
    </row>
    <row r="124">
      <c r="D124" s="9"/>
    </row>
    <row r="125">
      <c r="D125" s="9"/>
    </row>
    <row r="126">
      <c r="D126" s="9"/>
    </row>
    <row r="127">
      <c r="D127" s="9"/>
    </row>
    <row r="128">
      <c r="D128" s="9"/>
    </row>
    <row r="129">
      <c r="D129" s="9"/>
    </row>
    <row r="130">
      <c r="D130" s="9"/>
    </row>
    <row r="131">
      <c r="D131" s="9"/>
    </row>
    <row r="132">
      <c r="D132" s="9"/>
    </row>
    <row r="133">
      <c r="D133" s="9"/>
    </row>
    <row r="134">
      <c r="D134" s="9"/>
    </row>
    <row r="135">
      <c r="D135" s="9"/>
    </row>
    <row r="136">
      <c r="D136" s="9"/>
    </row>
    <row r="137">
      <c r="D137" s="9"/>
    </row>
    <row r="138">
      <c r="D138" s="9"/>
    </row>
    <row r="139">
      <c r="D139" s="9"/>
    </row>
    <row r="140">
      <c r="D140" s="9"/>
    </row>
    <row r="141">
      <c r="D141" s="9"/>
    </row>
    <row r="142">
      <c r="D142" s="9"/>
    </row>
    <row r="143">
      <c r="D143" s="9"/>
    </row>
    <row r="144">
      <c r="D144" s="9"/>
    </row>
    <row r="145">
      <c r="D145" s="9"/>
    </row>
    <row r="146">
      <c r="D146" s="9"/>
    </row>
    <row r="147">
      <c r="D147" s="9"/>
    </row>
    <row r="148">
      <c r="D148" s="9"/>
    </row>
    <row r="149">
      <c r="D149" s="9"/>
    </row>
    <row r="150">
      <c r="D150" s="9"/>
    </row>
    <row r="151">
      <c r="D151" s="9"/>
    </row>
    <row r="152">
      <c r="D152" s="9"/>
    </row>
    <row r="153">
      <c r="D153" s="9"/>
    </row>
    <row r="154">
      <c r="D154" s="9"/>
    </row>
    <row r="155">
      <c r="D155" s="9"/>
    </row>
    <row r="156">
      <c r="D156" s="9"/>
    </row>
    <row r="157">
      <c r="D157" s="9"/>
    </row>
    <row r="158">
      <c r="D158" s="9"/>
    </row>
    <row r="159">
      <c r="D159" s="9"/>
    </row>
    <row r="160">
      <c r="D160" s="9"/>
    </row>
    <row r="161">
      <c r="D161" s="9"/>
    </row>
    <row r="162">
      <c r="D162" s="9"/>
    </row>
    <row r="163">
      <c r="D163" s="9"/>
    </row>
    <row r="164">
      <c r="D164" s="9"/>
    </row>
    <row r="165">
      <c r="D165" s="9"/>
    </row>
    <row r="166">
      <c r="D166" s="9"/>
    </row>
    <row r="167">
      <c r="D167" s="9"/>
    </row>
    <row r="168">
      <c r="D168" s="9"/>
    </row>
    <row r="169">
      <c r="D169" s="9"/>
    </row>
    <row r="170">
      <c r="D170" s="9"/>
    </row>
    <row r="171">
      <c r="D171" s="9"/>
    </row>
    <row r="172">
      <c r="D172" s="9"/>
    </row>
    <row r="173">
      <c r="D173" s="9"/>
    </row>
    <row r="174">
      <c r="D174" s="9"/>
    </row>
    <row r="175">
      <c r="D175" s="9"/>
    </row>
    <row r="176">
      <c r="D176" s="9"/>
    </row>
    <row r="177">
      <c r="D177" s="9"/>
    </row>
    <row r="178">
      <c r="D178" s="9"/>
    </row>
    <row r="179">
      <c r="D179" s="9"/>
    </row>
    <row r="180">
      <c r="D180" s="9"/>
    </row>
    <row r="181">
      <c r="D181" s="9"/>
    </row>
    <row r="182">
      <c r="D182" s="9"/>
    </row>
    <row r="183">
      <c r="D183" s="9"/>
    </row>
    <row r="184">
      <c r="D184" s="9"/>
    </row>
    <row r="185">
      <c r="D185" s="9"/>
    </row>
    <row r="186">
      <c r="D186" s="9"/>
    </row>
    <row r="187">
      <c r="D187" s="9"/>
    </row>
    <row r="188">
      <c r="D188" s="9"/>
    </row>
    <row r="189">
      <c r="D189" s="9"/>
    </row>
    <row r="190">
      <c r="D190" s="9"/>
    </row>
    <row r="191">
      <c r="D191" s="9"/>
    </row>
    <row r="192">
      <c r="D192" s="9"/>
    </row>
    <row r="193">
      <c r="D193" s="9"/>
    </row>
    <row r="194">
      <c r="D194" s="9"/>
    </row>
    <row r="195">
      <c r="D195" s="9"/>
    </row>
    <row r="196">
      <c r="D196" s="9"/>
    </row>
    <row r="197">
      <c r="D197" s="9"/>
    </row>
    <row r="198">
      <c r="D198" s="9"/>
    </row>
    <row r="199">
      <c r="D199" s="9"/>
    </row>
    <row r="200">
      <c r="D200" s="9"/>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row r="999">
      <c r="D999" s="9"/>
    </row>
    <row r="1000">
      <c r="D1000" s="9"/>
    </row>
    <row r="1001">
      <c r="D1001" s="9"/>
    </row>
    <row r="1002">
      <c r="D1002" s="9"/>
    </row>
    <row r="1003">
      <c r="D1003" s="9"/>
    </row>
    <row r="1004">
      <c r="D1004" s="9"/>
    </row>
    <row r="1005">
      <c r="D1005" s="9"/>
    </row>
    <row r="1006">
      <c r="D1006" s="9"/>
    </row>
    <row r="1007">
      <c r="D1007" s="9"/>
    </row>
    <row r="1008">
      <c r="D1008" s="9"/>
    </row>
    <row r="1009">
      <c r="D1009" s="9"/>
    </row>
    <row r="1010">
      <c r="D1010" s="9"/>
    </row>
    <row r="1011">
      <c r="D1011" s="9"/>
    </row>
    <row r="1012">
      <c r="D1012" s="9"/>
    </row>
    <row r="1013">
      <c r="D1013" s="9"/>
    </row>
    <row r="1014">
      <c r="D1014" s="9"/>
    </row>
    <row r="1015">
      <c r="D1015" s="9"/>
    </row>
    <row r="1016">
      <c r="D1016" s="9"/>
    </row>
    <row r="1017">
      <c r="D1017" s="9"/>
    </row>
    <row r="1018">
      <c r="D1018" s="9"/>
    </row>
    <row r="1019">
      <c r="D1019" s="9"/>
    </row>
    <row r="1020">
      <c r="D1020" s="9"/>
    </row>
    <row r="1021">
      <c r="D1021" s="9"/>
    </row>
    <row r="1022">
      <c r="D1022" s="9"/>
    </row>
    <row r="1023">
      <c r="D1023" s="9"/>
    </row>
    <row r="1024">
      <c r="D1024" s="9"/>
    </row>
    <row r="1025">
      <c r="D1025" s="9"/>
    </row>
    <row r="1026">
      <c r="D1026" s="9"/>
    </row>
    <row r="1027">
      <c r="D1027" s="9"/>
    </row>
    <row r="1028">
      <c r="D1028" s="9"/>
    </row>
    <row r="1029">
      <c r="D1029" s="9"/>
    </row>
    <row r="1030">
      <c r="D1030" s="9"/>
    </row>
    <row r="1031">
      <c r="D1031" s="9"/>
    </row>
    <row r="1032">
      <c r="D1032" s="9"/>
    </row>
    <row r="1033">
      <c r="D1033" s="9"/>
    </row>
    <row r="1034">
      <c r="D1034" s="9"/>
    </row>
    <row r="1035">
      <c r="D1035" s="9"/>
    </row>
    <row r="1036">
      <c r="D1036" s="9"/>
    </row>
    <row r="1037">
      <c r="D1037" s="9"/>
    </row>
    <row r="1038">
      <c r="D1038" s="9"/>
    </row>
    <row r="1039">
      <c r="D1039" s="9"/>
    </row>
    <row r="1040">
      <c r="D1040" s="9"/>
    </row>
    <row r="1041">
      <c r="D1041" s="9"/>
    </row>
    <row r="1042">
      <c r="D1042" s="9"/>
    </row>
    <row r="1043">
      <c r="D1043" s="9"/>
    </row>
    <row r="1044">
      <c r="D1044" s="9"/>
    </row>
    <row r="1045">
      <c r="D1045" s="9"/>
    </row>
    <row r="1046">
      <c r="D1046" s="9"/>
    </row>
    <row r="1047">
      <c r="D1047" s="9"/>
    </row>
    <row r="1048">
      <c r="D1048" s="9"/>
    </row>
    <row r="1049">
      <c r="D1049" s="9"/>
    </row>
    <row r="1050">
      <c r="D1050" s="9"/>
    </row>
    <row r="1051">
      <c r="D1051" s="9"/>
    </row>
    <row r="1052">
      <c r="D1052" s="9"/>
    </row>
    <row r="1053">
      <c r="D1053" s="9"/>
    </row>
    <row r="1054">
      <c r="D1054" s="9"/>
    </row>
    <row r="1055">
      <c r="D1055" s="9"/>
    </row>
    <row r="1056">
      <c r="D1056" s="9"/>
    </row>
    <row r="1057">
      <c r="D1057" s="9"/>
    </row>
    <row r="1058">
      <c r="D1058" s="9"/>
    </row>
    <row r="1059">
      <c r="D1059" s="9"/>
    </row>
    <row r="1060">
      <c r="D1060" s="9"/>
    </row>
    <row r="1061">
      <c r="D1061" s="9"/>
    </row>
    <row r="1062">
      <c r="D1062" s="9"/>
    </row>
    <row r="1063">
      <c r="D1063" s="9"/>
    </row>
    <row r="1064">
      <c r="D1064" s="9"/>
    </row>
    <row r="1065">
      <c r="D1065" s="9"/>
    </row>
    <row r="1066">
      <c r="D1066" s="9"/>
    </row>
    <row r="1067">
      <c r="D1067" s="9"/>
    </row>
    <row r="1068">
      <c r="D1068" s="9"/>
    </row>
    <row r="1069">
      <c r="D1069" s="9"/>
    </row>
    <row r="1070">
      <c r="D1070" s="9"/>
    </row>
    <row r="1071">
      <c r="D1071" s="9"/>
    </row>
    <row r="1072">
      <c r="D1072" s="9"/>
    </row>
    <row r="1073">
      <c r="D1073" s="9"/>
    </row>
    <row r="1074">
      <c r="D1074" s="9"/>
    </row>
    <row r="1075">
      <c r="D1075" s="9"/>
    </row>
    <row r="1076">
      <c r="D1076" s="9"/>
    </row>
    <row r="1077">
      <c r="D1077" s="9"/>
    </row>
    <row r="1078">
      <c r="D1078" s="9"/>
    </row>
    <row r="1079">
      <c r="D1079" s="9"/>
    </row>
    <row r="1080">
      <c r="D1080" s="9"/>
    </row>
    <row r="1081">
      <c r="D1081" s="9"/>
    </row>
    <row r="1082">
      <c r="D1082" s="9"/>
    </row>
    <row r="1083">
      <c r="D1083" s="9"/>
    </row>
    <row r="1084">
      <c r="D1084" s="9"/>
    </row>
    <row r="1085">
      <c r="D1085" s="9"/>
    </row>
    <row r="1086">
      <c r="D1086" s="9"/>
    </row>
    <row r="1087">
      <c r="D1087" s="9"/>
    </row>
    <row r="1088">
      <c r="D1088" s="9"/>
    </row>
    <row r="1089">
      <c r="D1089" s="9"/>
    </row>
    <row r="1090">
      <c r="D1090" s="9"/>
    </row>
    <row r="1091">
      <c r="D1091" s="9"/>
    </row>
    <row r="1092">
      <c r="D1092" s="9"/>
    </row>
    <row r="1093">
      <c r="D1093" s="9"/>
    </row>
    <row r="1094">
      <c r="D1094" s="9"/>
    </row>
    <row r="1095">
      <c r="D1095" s="9"/>
    </row>
    <row r="1096">
      <c r="D1096" s="9"/>
    </row>
    <row r="1097">
      <c r="D1097" s="9"/>
    </row>
    <row r="1098">
      <c r="D1098" s="9"/>
    </row>
    <row r="1099">
      <c r="D1099" s="9"/>
    </row>
  </sheetData>
  <dataValidations>
    <dataValidation type="custom" allowBlank="1" showDropDown="1" showInputMessage="1" showErrorMessage="1" prompt="Data real da reunião semanal, dd/mm/aaaa." sqref="L2:L17">
      <formula1>OR(NOT(ISERROR(DATEVALUE(L2))), AND(ISNUMBER(L2), LEFT(CELL("format", L2))="D"))</formula1>
    </dataValidation>
  </dataValidations>
  <drawing r:id="rId1"/>
</worksheet>
</file>